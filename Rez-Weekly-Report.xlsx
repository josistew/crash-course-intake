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quare-Import" sheetId="2" state="visible" r:id="rId2"/>
    <sheet xmlns:r="http://schemas.openxmlformats.org/officeDocument/2006/relationships" name="DoorDash-Import" sheetId="3" state="visible" r:id="rId3"/>
    <sheet xmlns:r="http://schemas.openxmlformats.org/officeDocument/2006/relationships" name="UberEats-Import" sheetId="4" state="visible" r:id="rId4"/>
    <sheet xmlns:r="http://schemas.openxmlformats.org/officeDocument/2006/relationships" name="Grubhub-Import" sheetId="5" state="visible" r:id="rId5"/>
    <sheet xmlns:r="http://schemas.openxmlformats.org/officeDocument/2006/relationships" name="BEK-Import" sheetId="6" state="visible" r:id="rId6"/>
    <sheet xmlns:r="http://schemas.openxmlformats.org/officeDocument/2006/relationships" name="Employee-Roster" sheetId="7" state="visible" r:id="rId7"/>
    <sheet xmlns:r="http://schemas.openxmlformats.org/officeDocument/2006/relationships" name="Prior-Week" sheetId="8" state="visible" r:id="rId8"/>
    <sheet xmlns:r="http://schemas.openxmlformats.org/officeDocument/2006/relationships" name="MML-Calc" sheetId="9" state="visible" r:id="rId9"/>
    <sheet xmlns:r="http://schemas.openxmlformats.org/officeDocument/2006/relationships" name="MMA-Calc" sheetId="10" state="visible" r:id="rId10"/>
    <sheet xmlns:r="http://schemas.openxmlformats.org/officeDocument/2006/relationships" name="MM3-Calc" sheetId="11" state="visible" r:id="rId11"/>
    <sheet xmlns:r="http://schemas.openxmlformats.org/officeDocument/2006/relationships" name="TS1-Calc" sheetId="12" state="visible" r:id="rId12"/>
    <sheet xmlns:r="http://schemas.openxmlformats.org/officeDocument/2006/relationships" name="TS2-Calc" sheetId="13" state="visible" r:id="rId13"/>
    <sheet xmlns:r="http://schemas.openxmlformats.org/officeDocument/2006/relationships" name="Summary" sheetId="14" state="visible" r:id="rId14"/>
    <sheet xmlns:r="http://schemas.openxmlformats.org/officeDocument/2006/relationships" name="Labor-Import" sheetId="15" state="visible" r:id="rId15"/>
    <sheet xmlns:r="http://schemas.openxmlformats.org/officeDocument/2006/relationships" name="Overtime-Tracker" sheetId="16" state="visible" r:id="rId16"/>
    <sheet xmlns:r="http://schemas.openxmlformats.org/officeDocument/2006/relationships" name="Payroll-Output" sheetId="17" state="visible" r:id="rId17"/>
  </sheets>
  <definedNames>
    <definedName name="_xlnm.Print_Area" localSheetId="13">'Summary'!$A$1:$F$20</definedName>
  </definedNames>
  <calcPr calcId="124519" fullCalcOnLoad="1"/>
</workbook>
</file>

<file path=xl/styles.xml><?xml version="1.0" encoding="utf-8"?>
<styleSheet xmlns="http://schemas.openxmlformats.org/spreadsheetml/2006/main">
  <numFmts count="6">
    <numFmt numFmtId="164" formatCode="YYYY-MM-DD"/>
    <numFmt numFmtId="165" formatCode="&quot;$&quot;#,##0.00"/>
    <numFmt numFmtId="166" formatCode="0.0%"/>
    <numFmt numFmtId="167" formatCode="&quot;$&quot;#,##0"/>
    <numFmt numFmtId="168" formatCode="+0.0%;-0.0%"/>
    <numFmt numFmtId="169" formatCode="0.0"/>
  </numFmts>
  <fonts count="17">
    <font>
      <name val="Calibri"/>
      <family val="2"/>
      <color theme="1"/>
      <sz val="11"/>
      <scheme val="minor"/>
    </font>
    <font>
      <name val="Calibri"/>
      <b val="1"/>
      <color rgb="00FFFFFF"/>
      <sz val="16"/>
    </font>
    <font>
      <name val="Calibri"/>
      <sz val="11"/>
    </font>
    <font>
      <name val="Calibri"/>
      <b val="1"/>
      <color rgb="002F5496"/>
      <sz val="12"/>
    </font>
    <font>
      <name val="Calibri"/>
      <b val="1"/>
      <color rgb="007F4F00"/>
      <sz val="10"/>
    </font>
    <font>
      <name val="Calibri"/>
      <b val="1"/>
      <color rgb="00FFFFFF"/>
      <sz val="11"/>
    </font>
    <font>
      <name val="Calibri"/>
      <i val="1"/>
      <color rgb="00888888"/>
      <sz val="9"/>
    </font>
    <font>
      <name val="Calibri"/>
      <color rgb="00CC0000"/>
      <sz val="10"/>
    </font>
    <font>
      <name val="Calibri"/>
      <b val="1"/>
      <sz val="11"/>
    </font>
    <font>
      <name val="Calibri"/>
      <i val="1"/>
      <color rgb="00666666"/>
      <sz val="10"/>
    </font>
    <font>
      <name val="Calibri"/>
      <i val="1"/>
      <color rgb="00AAAAAA"/>
      <sz val="11"/>
    </font>
    <font>
      <name val="Calibri"/>
      <b val="1"/>
      <color rgb="00FFFFFF"/>
      <sz val="14"/>
    </font>
    <font>
      <name val="Calibri"/>
      <i val="1"/>
      <color rgb="00AAAAAA"/>
      <sz val="10"/>
    </font>
    <font>
      <name val="Calibri"/>
      <b val="1"/>
      <color rgb="001C3557"/>
      <sz val="18"/>
    </font>
    <font>
      <name val="Calibri"/>
      <i val="1"/>
      <color rgb="00666666"/>
      <sz val="9"/>
    </font>
    <font>
      <name val="Calibri"/>
      <sz val="9"/>
    </font>
    <font>
      <name val="Calibri"/>
      <i val="1"/>
      <color rgb="00444444"/>
      <sz val="10"/>
    </font>
  </fonts>
  <fills count="14">
    <fill>
      <patternFill/>
    </fill>
    <fill>
      <patternFill patternType="gray125"/>
    </fill>
    <fill>
      <patternFill patternType="solid">
        <fgColor rgb="002F5496"/>
      </patternFill>
    </fill>
    <fill>
      <patternFill patternType="solid">
        <fgColor rgb="00FFFFFF"/>
      </patternFill>
    </fill>
    <fill>
      <patternFill patternType="solid">
        <fgColor rgb="00E8F0FE"/>
      </patternFill>
    </fill>
    <fill>
      <patternFill patternType="solid">
        <fgColor rgb="00FFF2CC"/>
      </patternFill>
    </fill>
    <fill>
      <patternFill patternType="solid">
        <fgColor rgb="004472C4"/>
      </patternFill>
    </fill>
    <fill>
      <patternFill patternType="solid">
        <fgColor rgb="00F3F3F3"/>
      </patternFill>
    </fill>
    <fill>
      <patternFill patternType="solid">
        <fgColor rgb="00FBE4E4"/>
      </patternFill>
    </fill>
    <fill>
      <patternFill patternType="solid">
        <fgColor rgb="00F2F2F2"/>
      </patternFill>
    </fill>
    <fill>
      <patternFill patternType="solid">
        <fgColor rgb="00FFF9C4"/>
      </patternFill>
    </fill>
    <fill>
      <patternFill patternType="solid">
        <fgColor rgb="00434343"/>
      </patternFill>
    </fill>
    <fill>
      <patternFill patternType="solid">
        <fgColor rgb="00FDE9D9"/>
      </patternFill>
    </fill>
    <fill>
      <patternFill patternType="solid">
        <fgColor rgb="00D0E2F1"/>
      </patternFill>
    </fill>
  </fills>
  <borders count="2">
    <border>
      <left/>
      <right/>
      <top/>
      <bottom/>
      <diagonal/>
    </border>
    <border>
      <bottom style="thin">
        <color rgb="00CCCCCC"/>
      </bottom>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4" borderId="0" applyAlignment="1" pivotButton="0" quotePrefix="0" xfId="0">
      <alignment horizontal="left" vertical="top" wrapText="1"/>
    </xf>
    <xf numFmtId="0" fontId="4" fillId="5" borderId="0" applyAlignment="1" pivotButton="0" quotePrefix="0" xfId="0">
      <alignment horizontal="center" vertical="center" wrapText="1"/>
    </xf>
    <xf numFmtId="0" fontId="5"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center" vertical="center" wrapText="1"/>
    </xf>
    <xf numFmtId="0" fontId="2" fillId="9" borderId="0" applyAlignment="1" pivotButton="0" quotePrefix="0" xfId="0">
      <alignment horizontal="left" vertical="center" wrapText="1"/>
    </xf>
    <xf numFmtId="0" fontId="2" fillId="3" borderId="0" applyAlignment="1" pivotButton="0" quotePrefix="0" xfId="0">
      <alignment horizontal="left" vertical="center" wrapText="1"/>
    </xf>
    <xf numFmtId="0" fontId="8" fillId="0" borderId="0" pivotButton="0" quotePrefix="0" xfId="0"/>
    <xf numFmtId="164" fontId="0" fillId="10" borderId="0" pivotButton="0" quotePrefix="0" xfId="0"/>
    <xf numFmtId="0" fontId="5" fillId="2" borderId="0" applyAlignment="1" pivotButton="0" quotePrefix="0" xfId="0">
      <alignment horizontal="center" vertical="center" wrapText="1"/>
    </xf>
    <xf numFmtId="165" fontId="2" fillId="9" borderId="0" applyAlignment="1" pivotButton="0" quotePrefix="0" xfId="0">
      <alignment horizontal="left" vertical="center" wrapText="1"/>
    </xf>
    <xf numFmtId="164" fontId="2" fillId="9" borderId="0" applyAlignment="1" pivotButton="0" quotePrefix="0" xfId="0">
      <alignment horizontal="left" vertical="center" wrapText="1"/>
    </xf>
    <xf numFmtId="1" fontId="2" fillId="9" borderId="0" applyAlignment="1" pivotButton="0" quotePrefix="0" xfId="0">
      <alignment horizontal="center" vertical="center" wrapText="1"/>
    </xf>
    <xf numFmtId="0" fontId="2" fillId="9" borderId="0" applyAlignment="1" pivotButton="0" quotePrefix="0" xfId="0">
      <alignment horizontal="center" vertical="center" wrapText="1"/>
    </xf>
    <xf numFmtId="165" fontId="2" fillId="3" borderId="0" applyAlignment="1" pivotButton="0" quotePrefix="0" xfId="0">
      <alignment horizontal="left" vertical="center" wrapText="1"/>
    </xf>
    <xf numFmtId="164" fontId="2" fillId="3" borderId="0" applyAlignment="1" pivotButton="0" quotePrefix="0" xfId="0">
      <alignment horizontal="left" vertical="center" wrapText="1"/>
    </xf>
    <xf numFmtId="1" fontId="2" fillId="3" borderId="0" applyAlignment="1" pivotButton="0" quotePrefix="0" xfId="0">
      <alignment horizontal="center" vertical="center" wrapText="1"/>
    </xf>
    <xf numFmtId="0" fontId="2" fillId="3" borderId="0" applyAlignment="1" pivotButton="0" quotePrefix="0" xfId="0">
      <alignment horizontal="center" vertical="center" wrapText="1"/>
    </xf>
    <xf numFmtId="0" fontId="9" fillId="0" borderId="0" applyAlignment="1" pivotButton="0" quotePrefix="0" xfId="0">
      <alignment horizontal="left" wrapText="1"/>
    </xf>
    <xf numFmtId="164" fontId="2" fillId="9" borderId="0" applyAlignment="1" pivotButton="0" quotePrefix="0" xfId="0">
      <alignment horizontal="center" vertical="center" wrapText="1"/>
    </xf>
    <xf numFmtId="165" fontId="2" fillId="9" borderId="0" applyAlignment="1" pivotButton="0" quotePrefix="0" xfId="0">
      <alignment horizontal="center" vertical="center" wrapText="1"/>
    </xf>
    <xf numFmtId="166" fontId="2" fillId="9" borderId="0" applyAlignment="1" pivotButton="0" quotePrefix="0" xfId="0">
      <alignment horizontal="center" vertical="center" wrapText="1"/>
    </xf>
    <xf numFmtId="164" fontId="10" fillId="3" borderId="0" pivotButton="0" quotePrefix="0" xfId="0"/>
    <xf numFmtId="0" fontId="11" fillId="2" borderId="0" applyAlignment="1" pivotButton="0" quotePrefix="0" xfId="0">
      <alignment horizontal="center" vertical="center" wrapText="1"/>
    </xf>
    <xf numFmtId="0" fontId="8" fillId="0" borderId="0" applyAlignment="1" pivotButton="0" quotePrefix="0" xfId="0">
      <alignment horizontal="left" vertical="center" wrapText="1"/>
    </xf>
    <xf numFmtId="0" fontId="3" fillId="4" borderId="0" pivotButton="0" quotePrefix="0" xfId="0"/>
    <xf numFmtId="0" fontId="2" fillId="0" borderId="0" applyAlignment="1" pivotButton="0" quotePrefix="0" xfId="0">
      <alignment horizontal="left" vertical="center" wrapText="1"/>
    </xf>
    <xf numFmtId="167" fontId="0" fillId="0" borderId="0" pivotButton="0" quotePrefix="0" xfId="0"/>
    <xf numFmtId="166" fontId="0" fillId="0" borderId="0" pivotButton="0" quotePrefix="0" xfId="0"/>
    <xf numFmtId="0" fontId="8" fillId="4" borderId="0" applyAlignment="1" pivotButton="0" quotePrefix="0" xfId="0">
      <alignment horizontal="left" vertical="center" wrapText="1"/>
    </xf>
    <xf numFmtId="167" fontId="0" fillId="4" borderId="0" pivotButton="0" quotePrefix="0" xfId="0"/>
    <xf numFmtId="166" fontId="0" fillId="4" borderId="0" pivotButton="0" quotePrefix="0" xfId="0"/>
    <xf numFmtId="167" fontId="0" fillId="10" borderId="0" pivotButton="0" quotePrefix="0" xfId="0"/>
    <xf numFmtId="3" fontId="0" fillId="0" borderId="0" pivotButton="0" quotePrefix="0" xfId="0"/>
    <xf numFmtId="165" fontId="0" fillId="0" borderId="0" pivotButton="0" quotePrefix="0" xfId="0"/>
    <xf numFmtId="0" fontId="12" fillId="0" borderId="0" applyAlignment="1" pivotButton="0" quotePrefix="0" xfId="0">
      <alignment horizontal="left" wrapText="1"/>
    </xf>
    <xf numFmtId="0" fontId="13" fillId="5" borderId="0" applyAlignment="1" pivotButton="0" quotePrefix="0" xfId="0">
      <alignment horizontal="center" vertical="center" wrapText="1"/>
    </xf>
    <xf numFmtId="0" fontId="5" fillId="11" borderId="0" applyAlignment="1" pivotButton="0" quotePrefix="0" xfId="0">
      <alignment horizontal="center" vertical="center" wrapText="1"/>
    </xf>
    <xf numFmtId="167" fontId="0" fillId="12" borderId="0" applyAlignment="1" pivotButton="0" quotePrefix="0" xfId="0">
      <alignment horizontal="center" vertical="center" wrapText="1"/>
    </xf>
    <xf numFmtId="167" fontId="0" fillId="13" borderId="0" applyAlignment="1" pivotButton="0" quotePrefix="0" xfId="0">
      <alignment horizontal="center" vertical="center" wrapText="1"/>
    </xf>
    <xf numFmtId="0" fontId="14" fillId="0" borderId="1" applyAlignment="1" pivotButton="0" quotePrefix="0" xfId="0">
      <alignment horizontal="left" vertical="center" wrapText="1"/>
    </xf>
    <xf numFmtId="168" fontId="15" fillId="12" borderId="1" applyAlignment="1" pivotButton="0" quotePrefix="0" xfId="0">
      <alignment horizontal="center" vertical="center" wrapText="1"/>
    </xf>
    <xf numFmtId="168" fontId="15" fillId="13" borderId="1" applyAlignment="1" pivotButton="0" quotePrefix="0" xfId="0">
      <alignment horizontal="center" vertical="center" wrapText="1"/>
    </xf>
    <xf numFmtId="166" fontId="0" fillId="12" borderId="0" applyAlignment="1" pivotButton="0" quotePrefix="0" xfId="0">
      <alignment horizontal="center" vertical="center" wrapText="1"/>
    </xf>
    <xf numFmtId="166" fontId="0" fillId="13" borderId="0" applyAlignment="1" pivotButton="0" quotePrefix="0" xfId="0">
      <alignment horizontal="center" vertical="center" wrapText="1"/>
    </xf>
    <xf numFmtId="3" fontId="0" fillId="12" borderId="0" applyAlignment="1" pivotButton="0" quotePrefix="0" xfId="0">
      <alignment horizontal="center" vertical="center" wrapText="1"/>
    </xf>
    <xf numFmtId="3" fontId="0" fillId="13" borderId="0" applyAlignment="1" pivotButton="0" quotePrefix="0" xfId="0">
      <alignment horizontal="center" vertical="center" wrapText="1"/>
    </xf>
    <xf numFmtId="165" fontId="0" fillId="12" borderId="0" applyAlignment="1" pivotButton="0" quotePrefix="0" xfId="0">
      <alignment horizontal="center" vertical="center" wrapText="1"/>
    </xf>
    <xf numFmtId="165" fontId="0" fillId="13" borderId="0" applyAlignment="1" pivotButton="0" quotePrefix="0" xfId="0">
      <alignment horizontal="center" vertical="center" wrapText="1"/>
    </xf>
    <xf numFmtId="0" fontId="16" fillId="0" borderId="0" applyAlignment="1" pivotButton="0" quotePrefix="0" xfId="0">
      <alignment horizontal="left" vertical="top" wrapText="1"/>
    </xf>
    <xf numFmtId="164" fontId="2" fillId="10" borderId="0" applyAlignment="1" pivotButton="0" quotePrefix="0" xfId="0">
      <alignment horizontal="center" vertical="center" wrapText="1"/>
    </xf>
    <xf numFmtId="169" fontId="2" fillId="9" borderId="0" applyAlignment="1" pivotButton="0" quotePrefix="0" xfId="0">
      <alignment horizontal="center" vertical="center" wrapText="1"/>
    </xf>
    <xf numFmtId="169" fontId="2" fillId="3" borderId="0" applyAlignment="1" pivotButton="0" quotePrefix="0" xfId="0">
      <alignment horizontal="center" vertical="center" wrapText="1"/>
    </xf>
    <xf numFmtId="165" fontId="2" fillId="3" borderId="0" applyAlignment="1" pivotButton="0" quotePrefix="0" xfId="0">
      <alignment horizontal="center" vertical="center" wrapText="1"/>
    </xf>
    <xf numFmtId="164" fontId="2" fillId="3" borderId="0" applyAlignment="1" pivotButton="0" quotePrefix="0" xfId="0">
      <alignment horizontal="center" vertical="center" wrapText="1"/>
    </xf>
  </cellXfs>
  <cellStyles count="1">
    <cellStyle name="Normal" xfId="0" builtinId="0" hidden="0"/>
  </cellStyles>
  <dxfs count="7">
    <dxf>
      <font>
        <name val="Calibri"/>
        <b val="1"/>
        <color rgb="00006100"/>
        <sz val="10"/>
      </font>
      <fill>
        <patternFill patternType="solid">
          <fgColor rgb="00D9EAD3"/>
          <bgColor rgb="00D9EAD3"/>
        </patternFill>
      </fill>
    </dxf>
    <dxf>
      <font>
        <name val="Calibri"/>
        <b val="1"/>
        <color rgb="009C0006"/>
        <sz val="11"/>
      </font>
      <fill>
        <patternFill patternType="solid">
          <fgColor rgb="00FBE4E4"/>
          <bgColor rgb="00FBE4E4"/>
        </patternFill>
      </fill>
    </dxf>
    <dxf>
      <font>
        <name val="Calibri"/>
        <b val="1"/>
        <color rgb="007F4F00"/>
        <sz val="11"/>
      </font>
      <fill>
        <patternFill patternType="solid">
          <fgColor rgb="00FFE0B2"/>
          <bgColor rgb="00FFE0B2"/>
        </patternFill>
      </fill>
    </dxf>
    <dxf>
      <font>
        <name val="Calibri"/>
        <b val="1"/>
        <color rgb="00006100"/>
        <sz val="11"/>
      </font>
      <fill>
        <patternFill patternType="solid">
          <fgColor rgb="00D9EAD3"/>
          <bgColor rgb="00D9EAD3"/>
        </patternFill>
      </fill>
    </dxf>
    <dxf>
      <font>
        <name val="Calibri"/>
        <b val="1"/>
        <color rgb="00006100"/>
        <sz val="9"/>
      </font>
      <fill>
        <patternFill patternType="solid">
          <fgColor rgb="00D9EAD3"/>
          <bgColor rgb="00D9EAD3"/>
        </patternFill>
      </fill>
    </dxf>
    <dxf>
      <font>
        <name val="Calibri"/>
        <b val="1"/>
        <color rgb="009C0006"/>
        <sz val="9"/>
      </font>
      <fill>
        <patternFill patternType="solid">
          <fgColor rgb="00FBE4E4"/>
          <bgColor rgb="00FBE4E4"/>
        </patternFill>
      </fill>
    </dxf>
    <dxf>
      <font>
        <name val="Calibri"/>
        <color rgb="00006100"/>
        <sz val="11"/>
      </font>
      <fill>
        <patternFill patternType="solid">
          <fgColor rgb="00D9EAD3"/>
          <b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Build Script</author>
  </authors>
  <commentList>
    <comment ref="B30" authorId="0" shapeId="0">
      <text>
        <t>Enter the date you pasted this data.</t>
      </text>
    </comment>
  </commentList>
</comments>
</file>

<file path=xl/comments/comment2.xml><?xml version="1.0" encoding="utf-8"?>
<comments xmlns="http://schemas.openxmlformats.org/spreadsheetml/2006/main">
  <authors>
    <author>Build Script</author>
  </authors>
  <commentList>
    <comment ref="B30" authorId="0" shapeId="0">
      <text>
        <t>Enter the date you pasted this data.</t>
      </text>
    </comment>
  </commentList>
</comments>
</file>

<file path=xl/comments/comment3.xml><?xml version="1.0" encoding="utf-8"?>
<comments xmlns="http://schemas.openxmlformats.org/spreadsheetml/2006/main">
  <authors>
    <author>Build Script</author>
  </authors>
  <commentList>
    <comment ref="B30" authorId="0" shapeId="0">
      <text>
        <t>Enter the date you pasted this data.</t>
      </text>
    </comment>
  </commentList>
</comments>
</file>

<file path=xl/comments/comment4.xml><?xml version="1.0" encoding="utf-8"?>
<comments xmlns="http://schemas.openxmlformats.org/spreadsheetml/2006/main">
  <authors>
    <author>Build Script</author>
  </authors>
  <commentList>
    <comment ref="B30" authorId="0" shapeId="0">
      <text>
        <t>Enter the date you pasted this data.</t>
      </text>
    </comment>
  </commentList>
</comments>
</file>

<file path=xl/comments/comment5.xml><?xml version="1.0" encoding="utf-8"?>
<comments xmlns="http://schemas.openxmlformats.org/spreadsheetml/2006/main">
  <authors>
    <author>Build Script</author>
  </authors>
  <commentList>
    <comment ref="B20" authorId="0" shapeId="0">
      <text>
        <t>Enter the date you pasted this data.</t>
      </text>
    </comment>
  </commentList>
</comments>
</file>

<file path=xl/comments/comment6.xml><?xml version="1.0" encoding="utf-8"?>
<comments xmlns="http://schemas.openxmlformats.org/spreadsheetml/2006/main">
  <authors>
    <author>Build Script</author>
  </authors>
  <commentList>
    <comment ref="A3" authorId="0" shapeId="0">
      <text>
        <t>This row will hold the current week's KPIs after Monday reporting is complete. Copy values from Summary tab (paste as VALUES only) so next week's WoW formulas can reference them.</t>
      </text>
    </comment>
  </commentList>
</comments>
</file>

<file path=xl/comments/comment7.xml><?xml version="1.0" encoding="utf-8"?>
<comments xmlns="http://schemas.openxmlformats.org/spreadsheetml/2006/main">
  <authors>
    <author>Build Script</author>
  </authors>
  <commentList>
    <comment ref="B12" authorId="0" shapeId="0">
      <text>
        <t>BEK purchases are company-wide (not per-location). This divides the total food purchases by 5 locations as an estimate. If BEK CSV has no 'Category' column, it sums all invoice line items divided by 5. For precise allocation, enter manually.</t>
      </text>
    </comment>
    <comment ref="B16" authorId="0" shapeId="0">
      <text>
        <t>MANUAL ENTRY — v1: Enter total labor cost for this location from your Square Labor report (Total Hours x Avg Hourly Rate). Phase 2 will automate this via Square Labor CSV import. Example: if 80 hours @ avg $14.50/hr, enter 1160.</t>
      </text>
    </comment>
  </commentList>
</comments>
</file>

<file path=xl/comments/comment8.xml><?xml version="1.0" encoding="utf-8"?>
<comments xmlns="http://schemas.openxmlformats.org/spreadsheetml/2006/main">
  <authors>
    <author>Build Script</author>
  </authors>
  <commentList>
    <comment ref="B12" authorId="0" shapeId="0">
      <text>
        <t>BEK purchases are company-wide (not per-location). This divides the total food purchases by 5 locations as an estimate. If BEK CSV has no 'Category' column, it sums all invoice line items divided by 5. For precise allocation, enter manually.</t>
      </text>
    </comment>
    <comment ref="B16" authorId="0" shapeId="0">
      <text>
        <t>MANUAL ENTRY — v1: Enter total labor cost for this location from your Square Labor report (Total Hours x Avg Hourly Rate). Phase 2 will automate this via Square Labor CSV import. Example: if 80 hours @ avg $14.50/hr, enter 1160.</t>
      </text>
    </comment>
  </commentList>
</comments>
</file>

<file path=xl/comments/comment9.xml><?xml version="1.0" encoding="utf-8"?>
<comments xmlns="http://schemas.openxmlformats.org/spreadsheetml/2006/main">
  <authors>
    <author>Build Script</author>
  </authors>
  <commentList>
    <comment ref="B12" authorId="0" shapeId="0">
      <text>
        <t>BEK purchases are company-wide (not per-location). This divides the total food purchases by 5 locations as an estimate. If BEK CSV has no 'Category' column, it sums all invoice line items divided by 5. For precise allocation, enter manually.</t>
      </text>
    </comment>
    <comment ref="B16" authorId="0" shapeId="0">
      <text>
        <t>MANUAL ENTRY — v1: Enter total labor cost for this location from your Square Labor report (Total Hours x Avg Hourly Rate). Phase 2 will automate this via Square Labor CSV import. Example: if 80 hours @ avg $14.50/hr, enter 1160.</t>
      </text>
    </comment>
  </commentList>
</comments>
</file>

<file path=xl/comments/comment10.xml><?xml version="1.0" encoding="utf-8"?>
<comments xmlns="http://schemas.openxmlformats.org/spreadsheetml/2006/main">
  <authors>
    <author>Build Script</author>
  </authors>
  <commentList>
    <comment ref="B12" authorId="0" shapeId="0">
      <text>
        <t>BEK purchases are company-wide (not per-location). This divides the total food purchases by 5 locations as an estimate. If BEK CSV has no 'Category' column, it sums all invoice line items divided by 5. For precise allocation, enter manually.</t>
      </text>
    </comment>
    <comment ref="B16" authorId="0" shapeId="0">
      <text>
        <t>MANUAL ENTRY — v1: Enter total labor cost for this location from your Square Labor report (Total Hours x Avg Hourly Rate). Phase 2 will automate this via Square Labor CSV import. Example: if 80 hours @ avg $14.50/hr, enter 1160.</t>
      </text>
    </comment>
  </commentList>
</comments>
</file>

<file path=xl/comments/comment11.xml><?xml version="1.0" encoding="utf-8"?>
<comments xmlns="http://schemas.openxmlformats.org/spreadsheetml/2006/main">
  <authors>
    <author>Build Script</author>
  </authors>
  <commentList>
    <comment ref="B12" authorId="0" shapeId="0">
      <text>
        <t>BEK purchases are company-wide (not per-location). This divides the total food purchases by 5 locations as an estimate. If BEK CSV has no 'Category' column, it sums all invoice line items divided by 5. For precise allocation, enter manually.</t>
      </text>
    </comment>
    <comment ref="B16" authorId="0" shapeId="0">
      <text>
        <t>MANUAL ENTRY — v1: Enter total labor cost for this location from your Square Labor report (Total Hours x Avg Hourly Rate). Phase 2 will automate this via Square Labor CSV import. Example: if 80 hours @ avg $14.50/hr, enter 1160.</t>
      </text>
    </comment>
  </commentList>
</comments>
</file>

<file path=xl/comments/comment12.xml><?xml version="1.0" encoding="utf-8"?>
<comments xmlns="http://schemas.openxmlformats.org/spreadsheetml/2006/main">
  <authors>
    <author>Build Script</author>
  </authors>
  <commentList>
    <comment ref="B2" authorId="0" shapeId="0">
      <text>
        <t>Enter the Sunday date for this reporting week (e.g., 2026-03-15). All calc tabs link to this cell, so WoW comparisons update automatically.</t>
      </text>
    </comment>
  </commentList>
</comments>
</file>

<file path=xl/comments/comment13.xml><?xml version="1.0" encoding="utf-8"?>
<comments xmlns="http://schemas.openxmlformats.org/spreadsheetml/2006/main">
  <authors>
    <author>Build Script</author>
  </authors>
  <commentList>
    <comment ref="A1" authorId="0" shapeId="0">
      <text>
        <t>PLACEHOLDER — update headers to match Rez's actual Square Labor export column names. After your first export, paste the real headers into row 2 of this tab so SUMIFS formulas in the Overtime-Tracker and Payroll-Output tabs resolve correctly.</t>
      </text>
    </comment>
    <comment ref="B2" authorId="0" shapeId="0">
      <text>
        <t>This is the Employee Name column — used by Overtime-Tracker SUMIFS. Values must match the 'Square Name' column in Employee-Roster exactly (including capitalization and spacing).</t>
      </text>
    </comment>
    <comment ref="B53" authorId="0" shapeId="0">
      <text>
        <t>Enter the date you pasted this data.</t>
      </text>
    </comment>
  </commentList>
</comments>
</file>

<file path=xl/comments/comment14.xml><?xml version="1.0" encoding="utf-8"?>
<comments xmlns="http://schemas.openxmlformats.org/spreadsheetml/2006/main">
  <authors>
    <author>Build Script</author>
  </authors>
  <commentList>
    <comment ref="B1" authorId="0" shapeId="0">
      <text>
        <t>Enter Monday's date for this pay week. All daily hour columns reference this cell to determine which date to sum.</t>
      </text>
    </comment>
  </commentList>
</comments>
</file>

<file path=xl/comments/comment15.xml><?xml version="1.0" encoding="utf-8"?>
<comments xmlns="http://schemas.openxmlformats.org/spreadsheetml/2006/main">
  <authors>
    <author>Build Script</author>
  </authors>
  <commentList>
    <comment ref="B1" authorId="0" shapeId="0">
      <text>
        <t>Enter the last day of the pay period.</t>
      </text>
    </comment>
    <comment ref="E3" authorId="0" shapeId="0">
      <text>
        <t>Estimate only — does not include tips, deductions, or tax withholding. Verify against Gusto for actual payroll.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sheet1.xml><?xml version="1.0" encoding="utf-8"?>
<worksheet xmlns="http://schemas.openxmlformats.org/spreadsheetml/2006/main">
  <sheetPr>
    <tabColor rgb="006AA84F"/>
    <outlinePr summaryBelow="1" summaryRight="1"/>
    <pageSetUpPr/>
  </sheetPr>
  <dimension ref="A1:B68"/>
  <sheetViews>
    <sheetView workbookViewId="0">
      <pane ySplit="1" topLeftCell="A2" activePane="bottomLeft" state="frozen"/>
      <selection pane="bottomLeft" activeCell="A1" sqref="A1"/>
    </sheetView>
  </sheetViews>
  <sheetFormatPr baseColWidth="8" defaultRowHeight="15"/>
  <cols>
    <col width="80" customWidth="1" min="1" max="1"/>
    <col width="20" customWidth="1" min="2" max="2"/>
  </cols>
  <sheetData>
    <row r="1" ht="30" customHeight="1">
      <c r="A1" s="1" t="inlineStr">
        <is>
          <t>Rez Weekly Report — Instructions</t>
        </is>
      </c>
    </row>
    <row r="2" ht="18" customHeight="1">
      <c r="A2" s="2" t="inlineStr"/>
    </row>
    <row r="3" ht="40" customHeight="1">
      <c r="A3" s="2" t="inlineStr">
        <is>
          <t>IMPORTANT: Column headers in each import tab are PLACEHOLDERS. After your first CSV export from each platform, update the header row in each import tab to match your actual column names. The formulas use MATCH() on these headers — they must match exactly.</t>
        </is>
      </c>
    </row>
    <row r="4" ht="18" customHeight="1">
      <c r="A4" s="2" t="inlineStr"/>
    </row>
    <row r="5" ht="40" customHeight="1">
      <c r="A5" s="2" t="inlineStr">
        <is>
          <t>LABOR COST NOTE: The 'Est. Labor Cost (manual)' cell in each Location Calc tab requires manual entry for v1. Enter the total labor cost for that location from your Square Labor report each week. Labor Cost % is then computed automatically. Phase 2 will automate this via Square Labor CSV import.</t>
        </is>
      </c>
    </row>
    <row r="6" ht="18" customHeight="1">
      <c r="A6" s="2" t="inlineStr"/>
    </row>
    <row r="7" ht="20" customHeight="1">
      <c r="A7" s="3" t="inlineStr">
        <is>
          <t>WEEKLY CADENCE</t>
        </is>
      </c>
    </row>
    <row r="8" ht="40" customHeight="1">
      <c r="A8" s="2" t="inlineStr">
        <is>
          <t>Every Monday morning: clear last week's data from each import tab (delete rows 3 and below — keep rows 1 and 2), paste new CSVs, then check the Summary tab.</t>
        </is>
      </c>
    </row>
    <row r="9" ht="18" customHeight="1">
      <c r="A9" s="2" t="inlineStr"/>
    </row>
    <row r="10" ht="20" customHeight="1">
      <c r="A10" s="3" t="inlineStr">
        <is>
          <t>HOW TO EXPORT &amp; PASTE — SQUARE</t>
        </is>
      </c>
    </row>
    <row r="11" ht="18" customHeight="1">
      <c r="A11" s="2" t="inlineStr">
        <is>
          <t>1. Log into Square Dashboard</t>
        </is>
      </c>
    </row>
    <row r="12" ht="18" customHeight="1">
      <c r="A12" s="2" t="inlineStr">
        <is>
          <t>2. Go to: Reports &gt; Sales Summary</t>
        </is>
      </c>
    </row>
    <row r="13" ht="18" customHeight="1">
      <c r="A13" s="2" t="inlineStr">
        <is>
          <t>3. Select date range: Mon–Sun of the week you are reporting</t>
        </is>
      </c>
    </row>
    <row r="14" ht="18" customHeight="1">
      <c r="A14" s="2" t="inlineStr">
        <is>
          <t>4. Click 'Export CSV'</t>
        </is>
      </c>
    </row>
    <row r="15" ht="18" customHeight="1">
      <c r="A15" s="2" t="inlineStr">
        <is>
          <t>5. Open the CSV, select all, copy</t>
        </is>
      </c>
    </row>
    <row r="16" ht="18" customHeight="1">
      <c r="A16" s="2" t="inlineStr">
        <is>
          <t>6. Click into cell A3 of the Square-Import tab in this workbook</t>
        </is>
      </c>
    </row>
    <row r="17" ht="18" customHeight="1">
      <c r="A17" s="2" t="inlineStr">
        <is>
          <t>7. Paste (do not paste with formatting — plain paste only)</t>
        </is>
      </c>
    </row>
    <row r="18" ht="18" customHeight="1">
      <c r="A18" s="2" t="inlineStr"/>
    </row>
    <row r="19" ht="20" customHeight="1">
      <c r="A19" s="3" t="inlineStr">
        <is>
          <t>HOW TO EXPORT &amp; PASTE — DOORDASH</t>
        </is>
      </c>
    </row>
    <row r="20" ht="18" customHeight="1">
      <c r="A20" s="2" t="inlineStr">
        <is>
          <t>1. Log into DoorDash Merchant Portal</t>
        </is>
      </c>
    </row>
    <row r="21" ht="18" customHeight="1">
      <c r="A21" s="2" t="inlineStr">
        <is>
          <t>2. Go to: Financials &gt; Report Builder</t>
        </is>
      </c>
    </row>
    <row r="22" ht="18" customHeight="1">
      <c r="A22" s="2" t="inlineStr">
        <is>
          <t>3. Select the week you are reporting (Monday to Sunday)</t>
        </is>
      </c>
    </row>
    <row r="23" ht="18" customHeight="1">
      <c r="A23" s="2" t="inlineStr">
        <is>
          <t>4. Download CSV</t>
        </is>
      </c>
    </row>
    <row r="24" ht="18" customHeight="1">
      <c r="A24" s="2" t="inlineStr">
        <is>
          <t>5. Open the CSV, select all, copy</t>
        </is>
      </c>
    </row>
    <row r="25" ht="18" customHeight="1">
      <c r="A25" s="2" t="inlineStr">
        <is>
          <t>6. Click into cell A3 of the DoorDash-Import tab</t>
        </is>
      </c>
    </row>
    <row r="26" ht="18" customHeight="1">
      <c r="A26" s="2" t="inlineStr">
        <is>
          <t>7. Paste (plain paste only)</t>
        </is>
      </c>
    </row>
    <row r="27" ht="18" customHeight="1">
      <c r="A27" s="2" t="inlineStr"/>
    </row>
    <row r="28" ht="20" customHeight="1">
      <c r="A28" s="3" t="inlineStr">
        <is>
          <t>HOW TO EXPORT &amp; PASTE — UBER EATS</t>
        </is>
      </c>
    </row>
    <row r="29" ht="18" customHeight="1">
      <c r="A29" s="2" t="inlineStr">
        <is>
          <t>1. Log into Uber Eats Manager</t>
        </is>
      </c>
    </row>
    <row r="30" ht="18" customHeight="1">
      <c r="A30" s="2" t="inlineStr">
        <is>
          <t>2. Go to: Analytics &gt; Reports</t>
        </is>
      </c>
    </row>
    <row r="31" ht="18" customHeight="1">
      <c r="A31" s="2" t="inlineStr">
        <is>
          <t>3. Select 'Download Report' and choose the reporting week</t>
        </is>
      </c>
    </row>
    <row r="32" ht="18" customHeight="1">
      <c r="A32" s="2" t="inlineStr">
        <is>
          <t>4. Open the CSV, select all, copy</t>
        </is>
      </c>
    </row>
    <row r="33" ht="18" customHeight="1">
      <c r="A33" s="2" t="inlineStr">
        <is>
          <t>5. Click into cell A3 of the UberEats-Import tab</t>
        </is>
      </c>
    </row>
    <row r="34" ht="18" customHeight="1">
      <c r="A34" s="2" t="inlineStr">
        <is>
          <t>6. Paste (plain paste only)</t>
        </is>
      </c>
    </row>
    <row r="35" ht="18" customHeight="1">
      <c r="A35" s="2" t="inlineStr"/>
    </row>
    <row r="36" ht="20" customHeight="1">
      <c r="A36" s="3" t="inlineStr">
        <is>
          <t>HOW TO EXPORT &amp; PASTE — GRUBHUB</t>
        </is>
      </c>
    </row>
    <row r="37" ht="18" customHeight="1">
      <c r="A37" s="2" t="inlineStr">
        <is>
          <t>1. Log into Grubhub Restaurant Hub</t>
        </is>
      </c>
    </row>
    <row r="38" ht="18" customHeight="1">
      <c r="A38" s="2" t="inlineStr">
        <is>
          <t>2. Go to: Reports</t>
        </is>
      </c>
    </row>
    <row r="39" ht="18" customHeight="1">
      <c r="A39" s="2" t="inlineStr">
        <is>
          <t>3. Select the week and click 'Export'</t>
        </is>
      </c>
    </row>
    <row r="40" ht="18" customHeight="1">
      <c r="A40" s="2" t="inlineStr">
        <is>
          <t>4. Open the CSV, select all, copy</t>
        </is>
      </c>
    </row>
    <row r="41" ht="18" customHeight="1">
      <c r="A41" s="2" t="inlineStr">
        <is>
          <t>5. Click into cell A3 of the Grubhub-Import tab</t>
        </is>
      </c>
    </row>
    <row r="42" ht="18" customHeight="1">
      <c r="A42" s="2" t="inlineStr">
        <is>
          <t>6. Paste (plain paste only)</t>
        </is>
      </c>
    </row>
    <row r="43" ht="40" customHeight="1">
      <c r="A43" s="2" t="inlineStr">
        <is>
          <t>NOTE: Grubhub payouts are sometimes delayed 7–10 days. If the Grubhub column shows $0 on Monday, that is normal — check back Tuesday or Wednesday and update the Last Updated cell in the Grubhub-Import tab.</t>
        </is>
      </c>
    </row>
    <row r="44" ht="18" customHeight="1">
      <c r="A44" s="2" t="inlineStr"/>
    </row>
    <row r="45" ht="20" customHeight="1">
      <c r="A45" s="3" t="inlineStr">
        <is>
          <t>HOW TO EXPORT &amp; PASTE — BEK ENTREE</t>
        </is>
      </c>
    </row>
    <row r="46" ht="18" customHeight="1">
      <c r="A46" s="2" t="inlineStr">
        <is>
          <t>1. Log into BEK Entree Portal</t>
        </is>
      </c>
    </row>
    <row r="47" ht="18" customHeight="1">
      <c r="A47" s="2" t="inlineStr">
        <is>
          <t>2. Go to: Order History &gt; Export Invoice CSV</t>
        </is>
      </c>
    </row>
    <row r="48" ht="18" customHeight="1">
      <c r="A48" s="2" t="inlineStr">
        <is>
          <t>3. Select date range matching your reporting week</t>
        </is>
      </c>
    </row>
    <row r="49" ht="18" customHeight="1">
      <c r="A49" s="2" t="inlineStr">
        <is>
          <t>4. Open the CSV, select all, copy</t>
        </is>
      </c>
    </row>
    <row r="50" ht="18" customHeight="1">
      <c r="A50" s="2" t="inlineStr">
        <is>
          <t>5. Click into cell A3 of the BEK-Import tab</t>
        </is>
      </c>
    </row>
    <row r="51" ht="18" customHeight="1">
      <c r="A51" s="2" t="inlineStr">
        <is>
          <t>6. Paste (plain paste only)</t>
        </is>
      </c>
    </row>
    <row r="52" ht="40" customHeight="1">
      <c r="A52" s="2" t="inlineStr">
        <is>
          <t>NOTE: BEK purchases are company-wide (not per-location). The workbook divides BEK total evenly across 5 locations as an estimate. For exact allocation, enter the per-location amount manually in the BEK Purchases cell of each Calc tab.</t>
        </is>
      </c>
    </row>
    <row r="53" ht="18" customHeight="1">
      <c r="A53" s="2" t="inlineStr"/>
    </row>
    <row r="54" ht="20" customHeight="1">
      <c r="A54" s="3" t="inlineStr">
        <is>
          <t>LABOR COST (MANUAL ENTRY — v1)</t>
        </is>
      </c>
    </row>
    <row r="55" ht="40" customHeight="1">
      <c r="A55" s="2" t="inlineStr">
        <is>
          <t>After pasting all CSV data: open each Location Calc tab and enter total labor cost for that location in the yellow 'Est. Labor Cost (manual)' cell. Get this number from your Square Labor report (Total Hours x Average Hourly Rate for that location). Labor Cost % is computed automatically once you enter the dollar amount.</t>
        </is>
      </c>
    </row>
    <row r="56" ht="18" customHeight="1">
      <c r="A56" s="2" t="inlineStr"/>
    </row>
    <row r="57" ht="20" customHeight="1">
      <c r="A57" s="3" t="inlineStr">
        <is>
          <t>TROUBLESHOOTING</t>
        </is>
      </c>
    </row>
    <row r="58" ht="40" customHeight="1">
      <c r="A58" s="2" t="inlineStr">
        <is>
          <t>If you see $0 or ERROR in the Summary tab, check the validation row (row 2) in each import tab. A red cell in row 2 means that column did not paste as a number — the data came in as text. Try pasting again without formatting, or paste into Notepad first and re-copy to strip formatting.</t>
        </is>
      </c>
    </row>
    <row r="59" ht="18" customHeight="1">
      <c r="A59" s="2" t="inlineStr"/>
    </row>
    <row r="60" ht="40" customHeight="1">
      <c r="A60" s="2" t="inlineStr">
        <is>
          <t>If MATCH column errors (#N/A) appear, the column header in the import tab does not match the header in your CSV export. Update row 1 of the import tab to match the exact column name in your CSV file.</t>
        </is>
      </c>
    </row>
    <row r="61" ht="18" customHeight="1">
      <c r="A61" s="2" t="inlineStr"/>
    </row>
    <row r="62" ht="20" customHeight="1">
      <c r="A62" s="3" t="inlineStr">
        <is>
          <t>PAYROLL PREP (Phase 2)</t>
        </is>
      </c>
    </row>
    <row r="63" ht="40" customHeight="1">
      <c r="A63" s="2" t="inlineStr">
        <is>
          <t>1. Paste Square Labor export into the Labor-Import tab (all locations in one paste — do NOT separate by location).</t>
        </is>
      </c>
    </row>
    <row r="64" ht="40" customHeight="1">
      <c r="A64" s="2" t="inlineStr">
        <is>
          <t>2. Set the Week Starting date on the Overtime-Tracker tab (cell B1) to the Monday of the pay week.</t>
        </is>
      </c>
    </row>
    <row r="65" ht="40" customHeight="1">
      <c r="A65" s="2" t="inlineStr">
        <is>
          <t>3. Review Overtime-Tracker for OT flags: red = 38+ hours (HIGH), yellow = 32-38 hours (WARN), green = under 32 hours. Pay close attention to employees working across multiple locations — their hours aggregate automatically.</t>
        </is>
      </c>
    </row>
    <row r="66" ht="40" customHeight="1">
      <c r="A66" s="2" t="inlineStr">
        <is>
          <t>4. Review Payroll-Output tab and export/copy to Gusto Smart Import. Column names are designed to match Gusto's auto-mapping fields.</t>
        </is>
      </c>
    </row>
    <row r="67" ht="40" customHeight="1">
      <c r="A67" s="2" t="inlineStr">
        <is>
          <t>5. Update Employee Roster milestone dates (columns H-I) as employees reach milestones — Days Until Milestone (col J) and Status (col K) update automatically.</t>
        </is>
      </c>
    </row>
    <row r="68" ht="40" customHeight="1">
      <c r="A68" s="2" t="inlineStr">
        <is>
          <t>NOTE: Square Labor column headers in the Labor-Import tab are PLACEHOLDERS — update Labor-Import row 2 headers to match Rez's actual Square Labor export column names before using Overtime-Tracker formulas in production.</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4A86C8"/>
    <outlinePr summaryBelow="1" summaryRight="1"/>
    <pageSetUpPr/>
  </sheetPr>
  <dimension ref="A1:I30"/>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12" customWidth="1" min="3" max="3"/>
    <col width="13" customWidth="1" min="4" max="4"/>
    <col width="15" customWidth="1" min="5" max="5"/>
    <col width="13" customWidth="1" min="6" max="6"/>
    <col width="10" customWidth="1" min="7" max="7"/>
    <col width="10" customWidth="1" min="8" max="8"/>
    <col width="11" customWidth="1" min="9" max="9"/>
  </cols>
  <sheetData>
    <row r="1" ht="20" customHeight="1">
      <c r="A1" s="4" t="inlineStr">
        <is>
          <t>PLACEHOLDER HEADERS — Update row 2 to match your actual CSV export column names exactly.</t>
        </is>
      </c>
    </row>
    <row r="2">
      <c r="A2" s="5" t="inlineStr">
        <is>
          <t>Date</t>
        </is>
      </c>
      <c r="B2" s="5" t="inlineStr">
        <is>
          <t>Location</t>
        </is>
      </c>
      <c r="C2" s="5" t="inlineStr">
        <is>
          <t>Category</t>
        </is>
      </c>
      <c r="D2" s="5" t="inlineStr">
        <is>
          <t>Net Sales</t>
        </is>
      </c>
      <c r="E2" s="5" t="inlineStr">
        <is>
          <t>Gross Sales</t>
        </is>
      </c>
      <c r="F2" s="5" t="inlineStr">
        <is>
          <t>Discounts</t>
        </is>
      </c>
      <c r="G2" s="5" t="inlineStr">
        <is>
          <t>Tax</t>
        </is>
      </c>
      <c r="H2" s="5" t="inlineStr">
        <is>
          <t>Tips</t>
        </is>
      </c>
      <c r="I2" s="5" t="inlineStr">
        <is>
          <t>Refunds</t>
        </is>
      </c>
    </row>
    <row r="3" ht="22" customHeight="1">
      <c r="A3" s="6" t="inlineStr">
        <is>
          <t>[Date — text/date]</t>
        </is>
      </c>
      <c r="B3" s="6" t="inlineStr">
        <is>
          <t>[Location — text/date]</t>
        </is>
      </c>
      <c r="C3" s="6" t="inlineStr">
        <is>
          <t>[Category — text/date]</t>
        </is>
      </c>
      <c r="D3" s="7">
        <f>IF(ISNUMBER(INDEX(Square-Import!A:Z,4,MATCH("Net Sales",Square-Import!2:2,0))),"OK","PASTE ERROR - Net Sales is not a number")</f>
        <v/>
      </c>
      <c r="E3" s="7">
        <f>IF(ISNUMBER(INDEX(Square-Import!A:Z,4,MATCH("Gross Sales",Square-Import!2:2,0))),"OK","PASTE ERROR - Gross Sales is not a number")</f>
        <v/>
      </c>
      <c r="F3" s="6" t="inlineStr">
        <is>
          <t>[Discounts — text/date]</t>
        </is>
      </c>
      <c r="G3" s="6" t="inlineStr">
        <is>
          <t>[Tax — text/date]</t>
        </is>
      </c>
      <c r="H3" s="6" t="inlineStr">
        <is>
          <t>[Tips — text/date]</t>
        </is>
      </c>
      <c r="I3" s="6" t="inlineStr">
        <is>
          <t>[Refunds — text/date]</t>
        </is>
      </c>
    </row>
    <row r="4">
      <c r="A4" s="8" t="inlineStr">
        <is>
          <t>2026-03-09</t>
        </is>
      </c>
      <c r="B4" s="8" t="inlineStr">
        <is>
          <t>Moto Medi Lubbock</t>
        </is>
      </c>
      <c r="C4" s="8" t="inlineStr">
        <is>
          <t>Food &amp; Drink</t>
        </is>
      </c>
      <c r="D4" s="8" t="n">
        <v>1840</v>
      </c>
      <c r="E4" s="8" t="n">
        <v>1950</v>
      </c>
      <c r="F4" s="8" t="n">
        <v>55</v>
      </c>
      <c r="G4" s="8" t="n">
        <v>152.1</v>
      </c>
      <c r="H4" s="8" t="n">
        <v>0</v>
      </c>
      <c r="I4" s="8" t="n">
        <v>15</v>
      </c>
    </row>
    <row r="5">
      <c r="A5" s="9" t="inlineStr">
        <is>
          <t>2026-03-10</t>
        </is>
      </c>
      <c r="B5" s="9" t="inlineStr">
        <is>
          <t>Moto Medi Lubbock</t>
        </is>
      </c>
      <c r="C5" s="9" t="inlineStr">
        <is>
          <t>Food &amp; Drink</t>
        </is>
      </c>
      <c r="D5" s="9" t="n">
        <v>2120.5</v>
      </c>
      <c r="E5" s="9" t="n">
        <v>2230</v>
      </c>
      <c r="F5" s="9" t="n">
        <v>42</v>
      </c>
      <c r="G5" s="9" t="n">
        <v>175.32</v>
      </c>
      <c r="H5" s="9" t="n">
        <v>0</v>
      </c>
      <c r="I5" s="9" t="n">
        <v>12.5</v>
      </c>
    </row>
    <row r="6">
      <c r="A6" s="8" t="inlineStr">
        <is>
          <t>2026-03-11</t>
        </is>
      </c>
      <c r="B6" s="8" t="inlineStr">
        <is>
          <t>Moto Medi Lubbock</t>
        </is>
      </c>
      <c r="C6" s="8" t="inlineStr">
        <is>
          <t>Food &amp; Drink</t>
        </is>
      </c>
      <c r="D6" s="8" t="n">
        <v>2340</v>
      </c>
      <c r="E6" s="8" t="n">
        <v>2450</v>
      </c>
      <c r="F6" s="8" t="n">
        <v>60</v>
      </c>
      <c r="G6" s="8" t="n">
        <v>193.62</v>
      </c>
      <c r="H6" s="8" t="n">
        <v>0</v>
      </c>
      <c r="I6" s="8" t="n">
        <v>50</v>
      </c>
    </row>
    <row r="7">
      <c r="A7" s="9" t="inlineStr">
        <is>
          <t>2026-03-12</t>
        </is>
      </c>
      <c r="B7" s="9" t="inlineStr">
        <is>
          <t>Moto Medi Lubbock</t>
        </is>
      </c>
      <c r="C7" s="9" t="inlineStr">
        <is>
          <t>Food &amp; Drink</t>
        </is>
      </c>
      <c r="D7" s="9" t="n">
        <v>2050.75</v>
      </c>
      <c r="E7" s="9" t="n">
        <v>2160</v>
      </c>
      <c r="F7" s="9" t="n">
        <v>55.25</v>
      </c>
      <c r="G7" s="9" t="n">
        <v>169.7</v>
      </c>
      <c r="H7" s="9" t="n">
        <v>0</v>
      </c>
      <c r="I7" s="9" t="n">
        <v>29.25</v>
      </c>
    </row>
    <row r="8">
      <c r="A8" s="8" t="inlineStr">
        <is>
          <t>2026-03-13</t>
        </is>
      </c>
      <c r="B8" s="8" t="inlineStr">
        <is>
          <t>Moto Medi Lubbock</t>
        </is>
      </c>
      <c r="C8" s="8" t="inlineStr">
        <is>
          <t>Food &amp; Drink</t>
        </is>
      </c>
      <c r="D8" s="8" t="n">
        <v>2490</v>
      </c>
      <c r="E8" s="8" t="n">
        <v>2610</v>
      </c>
      <c r="F8" s="8" t="n">
        <v>70</v>
      </c>
      <c r="G8" s="8" t="n">
        <v>205.93</v>
      </c>
      <c r="H8" s="8" t="n">
        <v>0</v>
      </c>
      <c r="I8" s="8" t="n">
        <v>30</v>
      </c>
    </row>
    <row r="9">
      <c r="A9" s="9" t="inlineStr">
        <is>
          <t>2026-03-09</t>
        </is>
      </c>
      <c r="B9" s="9" t="inlineStr">
        <is>
          <t>Moto Medi Amarillo</t>
        </is>
      </c>
      <c r="C9" s="9" t="inlineStr">
        <is>
          <t>Food &amp; Drink</t>
        </is>
      </c>
      <c r="D9" s="9" t="n">
        <v>1540</v>
      </c>
      <c r="E9" s="9" t="n">
        <v>1640</v>
      </c>
      <c r="F9" s="9" t="n">
        <v>45</v>
      </c>
      <c r="G9" s="9" t="n">
        <v>127.41</v>
      </c>
      <c r="H9" s="9" t="n">
        <v>0</v>
      </c>
      <c r="I9" s="9" t="n">
        <v>10</v>
      </c>
    </row>
    <row r="10">
      <c r="A10" s="8" t="inlineStr">
        <is>
          <t>2026-03-10</t>
        </is>
      </c>
      <c r="B10" s="8" t="inlineStr">
        <is>
          <t>Moto Medi Amarillo</t>
        </is>
      </c>
      <c r="C10" s="8" t="inlineStr">
        <is>
          <t>Food &amp; Drink</t>
        </is>
      </c>
      <c r="D10" s="8" t="n">
        <v>1680.25</v>
      </c>
      <c r="E10" s="8" t="n">
        <v>1790</v>
      </c>
      <c r="F10" s="8" t="n">
        <v>60</v>
      </c>
      <c r="G10" s="8" t="n">
        <v>139.04</v>
      </c>
      <c r="H10" s="8" t="n">
        <v>0</v>
      </c>
      <c r="I10" s="8" t="n">
        <v>29.75</v>
      </c>
    </row>
    <row r="11">
      <c r="A11" s="9" t="inlineStr">
        <is>
          <t>2026-03-11</t>
        </is>
      </c>
      <c r="B11" s="9" t="inlineStr">
        <is>
          <t>Moto Medi Amarillo</t>
        </is>
      </c>
      <c r="C11" s="9" t="inlineStr">
        <is>
          <t>Food &amp; Drink</t>
        </is>
      </c>
      <c r="D11" s="9" t="n">
        <v>1820</v>
      </c>
      <c r="E11" s="9" t="n">
        <v>1940</v>
      </c>
      <c r="F11" s="9" t="n">
        <v>65</v>
      </c>
      <c r="G11" s="9" t="n">
        <v>150.56</v>
      </c>
      <c r="H11" s="9" t="n">
        <v>0</v>
      </c>
      <c r="I11" s="9" t="n">
        <v>20</v>
      </c>
    </row>
    <row r="12">
      <c r="A12" s="8" t="inlineStr">
        <is>
          <t>2026-03-12</t>
        </is>
      </c>
      <c r="B12" s="8" t="inlineStr">
        <is>
          <t>Moto Medi Amarillo</t>
        </is>
      </c>
      <c r="C12" s="8" t="inlineStr">
        <is>
          <t>Food &amp; Drink</t>
        </is>
      </c>
      <c r="D12" s="8" t="n">
        <v>1590.5</v>
      </c>
      <c r="E12" s="8" t="n">
        <v>1690</v>
      </c>
      <c r="F12" s="8" t="n">
        <v>50</v>
      </c>
      <c r="G12" s="8" t="n">
        <v>131.54</v>
      </c>
      <c r="H12" s="8" t="n">
        <v>0</v>
      </c>
      <c r="I12" s="8" t="n">
        <v>19.5</v>
      </c>
    </row>
    <row r="13">
      <c r="A13" s="9" t="inlineStr">
        <is>
          <t>2026-03-13</t>
        </is>
      </c>
      <c r="B13" s="9" t="inlineStr">
        <is>
          <t>Moto Medi Amarillo</t>
        </is>
      </c>
      <c r="C13" s="9" t="inlineStr">
        <is>
          <t>Food &amp; Drink</t>
        </is>
      </c>
      <c r="D13" s="9" t="n">
        <v>1920</v>
      </c>
      <c r="E13" s="9" t="n">
        <v>2040</v>
      </c>
      <c r="F13" s="9" t="n">
        <v>70</v>
      </c>
      <c r="G13" s="9" t="n">
        <v>158.88</v>
      </c>
      <c r="H13" s="9" t="n">
        <v>0</v>
      </c>
      <c r="I13" s="9" t="n">
        <v>20</v>
      </c>
    </row>
    <row r="14">
      <c r="A14" s="8" t="inlineStr">
        <is>
          <t>2026-03-09</t>
        </is>
      </c>
      <c r="B14" s="8" t="inlineStr">
        <is>
          <t>Moto Medi 3rd</t>
        </is>
      </c>
      <c r="C14" s="8" t="inlineStr">
        <is>
          <t>Food &amp; Drink</t>
        </is>
      </c>
      <c r="D14" s="8" t="n">
        <v>1240</v>
      </c>
      <c r="E14" s="8" t="n">
        <v>1320</v>
      </c>
      <c r="F14" s="8" t="n">
        <v>35</v>
      </c>
      <c r="G14" s="8" t="n">
        <v>102.59</v>
      </c>
      <c r="H14" s="8" t="n">
        <v>0</v>
      </c>
      <c r="I14" s="8" t="n">
        <v>10</v>
      </c>
    </row>
    <row r="15">
      <c r="A15" s="9" t="inlineStr">
        <is>
          <t>2026-03-10</t>
        </is>
      </c>
      <c r="B15" s="9" t="inlineStr">
        <is>
          <t>Moto Medi 3rd</t>
        </is>
      </c>
      <c r="C15" s="9" t="inlineStr">
        <is>
          <t>Food &amp; Drink</t>
        </is>
      </c>
      <c r="D15" s="9" t="n">
        <v>1380.5</v>
      </c>
      <c r="E15" s="9" t="n">
        <v>1470</v>
      </c>
      <c r="F15" s="9" t="n">
        <v>40</v>
      </c>
      <c r="G15" s="9" t="n">
        <v>114.16</v>
      </c>
      <c r="H15" s="9" t="n">
        <v>0</v>
      </c>
      <c r="I15" s="9" t="n">
        <v>19.5</v>
      </c>
    </row>
    <row r="16">
      <c r="A16" s="8" t="inlineStr">
        <is>
          <t>2026-03-11</t>
        </is>
      </c>
      <c r="B16" s="8" t="inlineStr">
        <is>
          <t>Moto Medi 3rd</t>
        </is>
      </c>
      <c r="C16" s="8" t="inlineStr">
        <is>
          <t>Food &amp; Drink</t>
        </is>
      </c>
      <c r="D16" s="8" t="n">
        <v>1450</v>
      </c>
      <c r="E16" s="8" t="n">
        <v>1540</v>
      </c>
      <c r="F16" s="8" t="n">
        <v>42</v>
      </c>
      <c r="G16" s="8" t="n">
        <v>119.93</v>
      </c>
      <c r="H16" s="8" t="n">
        <v>0</v>
      </c>
      <c r="I16" s="8" t="n">
        <v>22</v>
      </c>
    </row>
    <row r="17">
      <c r="A17" s="9" t="inlineStr">
        <is>
          <t>2026-03-12</t>
        </is>
      </c>
      <c r="B17" s="9" t="inlineStr">
        <is>
          <t>Moto Medi 3rd</t>
        </is>
      </c>
      <c r="C17" s="9" t="inlineStr">
        <is>
          <t>Food &amp; Drink</t>
        </is>
      </c>
      <c r="D17" s="9" t="n">
        <v>1310.75</v>
      </c>
      <c r="E17" s="9" t="n">
        <v>1400</v>
      </c>
      <c r="F17" s="9" t="n">
        <v>38.25</v>
      </c>
      <c r="G17" s="9" t="n">
        <v>108.39</v>
      </c>
      <c r="H17" s="9" t="n">
        <v>0</v>
      </c>
      <c r="I17" s="9" t="n">
        <v>20.25</v>
      </c>
    </row>
    <row r="18">
      <c r="A18" s="8" t="inlineStr">
        <is>
          <t>2026-03-13</t>
        </is>
      </c>
      <c r="B18" s="8" t="inlineStr">
        <is>
          <t>Moto Medi 3rd</t>
        </is>
      </c>
      <c r="C18" s="8" t="inlineStr">
        <is>
          <t>Food &amp; Drink</t>
        </is>
      </c>
      <c r="D18" s="8" t="n">
        <v>1520</v>
      </c>
      <c r="E18" s="8" t="n">
        <v>1610</v>
      </c>
      <c r="F18" s="8" t="n">
        <v>45</v>
      </c>
      <c r="G18" s="8" t="n">
        <v>125.65</v>
      </c>
      <c r="H18" s="8" t="n">
        <v>0</v>
      </c>
      <c r="I18" s="8" t="n">
        <v>20</v>
      </c>
    </row>
    <row r="19">
      <c r="A19" s="9" t="inlineStr">
        <is>
          <t>2026-03-09</t>
        </is>
      </c>
      <c r="B19" s="9" t="inlineStr">
        <is>
          <t>Tikka Shack 1</t>
        </is>
      </c>
      <c r="C19" s="9" t="inlineStr">
        <is>
          <t>Food &amp; Drink</t>
        </is>
      </c>
      <c r="D19" s="9" t="n">
        <v>1090</v>
      </c>
      <c r="E19" s="9" t="n">
        <v>1160</v>
      </c>
      <c r="F19" s="9" t="n">
        <v>30</v>
      </c>
      <c r="G19" s="9" t="n">
        <v>90.19</v>
      </c>
      <c r="H19" s="9" t="n">
        <v>0</v>
      </c>
      <c r="I19" s="9" t="n">
        <v>10</v>
      </c>
    </row>
    <row r="20">
      <c r="A20" s="8" t="inlineStr">
        <is>
          <t>2026-03-10</t>
        </is>
      </c>
      <c r="B20" s="8" t="inlineStr">
        <is>
          <t>Tikka Shack 1</t>
        </is>
      </c>
      <c r="C20" s="8" t="inlineStr">
        <is>
          <t>Food &amp; Drink</t>
        </is>
      </c>
      <c r="D20" s="8" t="n">
        <v>1210.5</v>
      </c>
      <c r="E20" s="8" t="n">
        <v>1290</v>
      </c>
      <c r="F20" s="8" t="n">
        <v>35</v>
      </c>
      <c r="G20" s="8" t="n">
        <v>100.12</v>
      </c>
      <c r="H20" s="8" t="n">
        <v>0</v>
      </c>
      <c r="I20" s="8" t="n">
        <v>14.5</v>
      </c>
    </row>
    <row r="21">
      <c r="A21" s="9" t="inlineStr">
        <is>
          <t>2026-03-11</t>
        </is>
      </c>
      <c r="B21" s="9" t="inlineStr">
        <is>
          <t>Tikka Shack 1</t>
        </is>
      </c>
      <c r="C21" s="9" t="inlineStr">
        <is>
          <t>Food &amp; Drink</t>
        </is>
      </c>
      <c r="D21" s="9" t="n">
        <v>1320</v>
      </c>
      <c r="E21" s="9" t="n">
        <v>1400</v>
      </c>
      <c r="F21" s="9" t="n">
        <v>40</v>
      </c>
      <c r="G21" s="9" t="n">
        <v>109.14</v>
      </c>
      <c r="H21" s="9" t="n">
        <v>0</v>
      </c>
      <c r="I21" s="9" t="n">
        <v>20</v>
      </c>
    </row>
    <row r="22">
      <c r="A22" s="8" t="inlineStr">
        <is>
          <t>2026-03-12</t>
        </is>
      </c>
      <c r="B22" s="8" t="inlineStr">
        <is>
          <t>Tikka Shack 1</t>
        </is>
      </c>
      <c r="C22" s="8" t="inlineStr">
        <is>
          <t>Food &amp; Drink</t>
        </is>
      </c>
      <c r="D22" s="8" t="n">
        <v>1150.25</v>
      </c>
      <c r="E22" s="8" t="n">
        <v>1230</v>
      </c>
      <c r="F22" s="8" t="n">
        <v>32</v>
      </c>
      <c r="G22" s="8" t="n">
        <v>95.09</v>
      </c>
      <c r="H22" s="8" t="n">
        <v>0</v>
      </c>
      <c r="I22" s="8" t="n">
        <v>17.75</v>
      </c>
    </row>
    <row r="23">
      <c r="A23" s="9" t="inlineStr">
        <is>
          <t>2026-03-13</t>
        </is>
      </c>
      <c r="B23" s="9" t="inlineStr">
        <is>
          <t>Tikka Shack 1</t>
        </is>
      </c>
      <c r="C23" s="9" t="inlineStr">
        <is>
          <t>Food &amp; Drink</t>
        </is>
      </c>
      <c r="D23" s="9" t="n">
        <v>1390</v>
      </c>
      <c r="E23" s="9" t="n">
        <v>1480</v>
      </c>
      <c r="F23" s="9" t="n">
        <v>42</v>
      </c>
      <c r="G23" s="9" t="n">
        <v>114.94</v>
      </c>
      <c r="H23" s="9" t="n">
        <v>0</v>
      </c>
      <c r="I23" s="9" t="n">
        <v>18</v>
      </c>
    </row>
    <row r="24">
      <c r="A24" s="8" t="inlineStr">
        <is>
          <t>2026-03-09</t>
        </is>
      </c>
      <c r="B24" s="8" t="inlineStr">
        <is>
          <t>Tikka Shack 2</t>
        </is>
      </c>
      <c r="C24" s="8" t="inlineStr">
        <is>
          <t>Food &amp; Drink</t>
        </is>
      </c>
      <c r="D24" s="8" t="n">
        <v>980</v>
      </c>
      <c r="E24" s="8" t="n">
        <v>1050</v>
      </c>
      <c r="F24" s="8" t="n">
        <v>28</v>
      </c>
      <c r="G24" s="8" t="n">
        <v>81.03</v>
      </c>
      <c r="H24" s="8" t="n">
        <v>0</v>
      </c>
      <c r="I24" s="8" t="n">
        <v>10</v>
      </c>
    </row>
    <row r="25">
      <c r="A25" s="9" t="inlineStr">
        <is>
          <t>2026-03-10</t>
        </is>
      </c>
      <c r="B25" s="9" t="inlineStr">
        <is>
          <t>Tikka Shack 2</t>
        </is>
      </c>
      <c r="C25" s="9" t="inlineStr">
        <is>
          <t>Food &amp; Drink</t>
        </is>
      </c>
      <c r="D25" s="9" t="n">
        <v>1060.25</v>
      </c>
      <c r="E25" s="9" t="n">
        <v>1130</v>
      </c>
      <c r="F25" s="9" t="n">
        <v>30</v>
      </c>
      <c r="G25" s="9" t="n">
        <v>87.69</v>
      </c>
      <c r="H25" s="9" t="n">
        <v>0</v>
      </c>
      <c r="I25" s="9" t="n">
        <v>19.75</v>
      </c>
    </row>
    <row r="26">
      <c r="A26" s="8" t="inlineStr">
        <is>
          <t>2026-03-11</t>
        </is>
      </c>
      <c r="B26" s="8" t="inlineStr">
        <is>
          <t>Tikka Shack 2</t>
        </is>
      </c>
      <c r="C26" s="8" t="inlineStr">
        <is>
          <t>Food &amp; Drink</t>
        </is>
      </c>
      <c r="D26" s="8" t="n">
        <v>1180</v>
      </c>
      <c r="E26" s="8" t="n">
        <v>1260</v>
      </c>
      <c r="F26" s="8" t="n">
        <v>35</v>
      </c>
      <c r="G26" s="8" t="n">
        <v>97.58</v>
      </c>
      <c r="H26" s="8" t="n">
        <v>0</v>
      </c>
      <c r="I26" s="8" t="n">
        <v>15</v>
      </c>
    </row>
    <row r="27">
      <c r="A27" s="9" t="inlineStr">
        <is>
          <t>2026-03-12</t>
        </is>
      </c>
      <c r="B27" s="9" t="inlineStr">
        <is>
          <t>Tikka Shack 2</t>
        </is>
      </c>
      <c r="C27" s="9" t="inlineStr">
        <is>
          <t>Food &amp; Drink</t>
        </is>
      </c>
      <c r="D27" s="9" t="n">
        <v>1020.5</v>
      </c>
      <c r="E27" s="9" t="n">
        <v>1090</v>
      </c>
      <c r="F27" s="9" t="n">
        <v>29.5</v>
      </c>
      <c r="G27" s="9" t="n">
        <v>84.3</v>
      </c>
      <c r="H27" s="9" t="n">
        <v>0</v>
      </c>
      <c r="I27" s="9" t="n">
        <v>20</v>
      </c>
    </row>
    <row r="28">
      <c r="A28" s="8" t="inlineStr">
        <is>
          <t>2026-03-13</t>
        </is>
      </c>
      <c r="B28" s="8" t="inlineStr">
        <is>
          <t>Tikka Shack 2</t>
        </is>
      </c>
      <c r="C28" s="8" t="inlineStr">
        <is>
          <t>Food &amp; Drink</t>
        </is>
      </c>
      <c r="D28" s="8" t="n">
        <v>1140</v>
      </c>
      <c r="E28" s="8" t="n">
        <v>1220</v>
      </c>
      <c r="F28" s="8" t="n">
        <v>33</v>
      </c>
      <c r="G28" s="8" t="n">
        <v>94.25</v>
      </c>
      <c r="H28" s="8" t="n">
        <v>0</v>
      </c>
      <c r="I28" s="8" t="n">
        <v>13</v>
      </c>
    </row>
    <row r="30">
      <c r="A30" s="10" t="inlineStr">
        <is>
          <t>Last Updated:</t>
        </is>
      </c>
      <c r="B30" s="11" t="inlineStr"/>
    </row>
  </sheetData>
  <mergeCells count="1">
    <mergeCell ref="A1:I1"/>
  </mergeCells>
  <conditionalFormatting sqref="A3">
    <cfRule type="expression" priority="1" dxfId="0" stopIfTrue="0">
      <formula>=A3="OK"</formula>
    </cfRule>
  </conditionalFormatting>
  <conditionalFormatting sqref="B3">
    <cfRule type="expression" priority="2" dxfId="0" stopIfTrue="0">
      <formula>=B3="OK"</formula>
    </cfRule>
  </conditionalFormatting>
  <conditionalFormatting sqref="C3">
    <cfRule type="expression" priority="3" dxfId="0" stopIfTrue="0">
      <formula>=C3="OK"</formula>
    </cfRule>
  </conditionalFormatting>
  <conditionalFormatting sqref="D3">
    <cfRule type="expression" priority="4" dxfId="0" stopIfTrue="0">
      <formula>=D3="OK"</formula>
    </cfRule>
  </conditionalFormatting>
  <conditionalFormatting sqref="E3">
    <cfRule type="expression" priority="5" dxfId="0" stopIfTrue="0">
      <formula>=E3="OK"</formula>
    </cfRule>
  </conditionalFormatting>
  <conditionalFormatting sqref="F3">
    <cfRule type="expression" priority="6" dxfId="0" stopIfTrue="0">
      <formula>=F3="OK"</formula>
    </cfRule>
  </conditionalFormatting>
  <conditionalFormatting sqref="G3">
    <cfRule type="expression" priority="7" dxfId="0" stopIfTrue="0">
      <formula>=G3="OK"</formula>
    </cfRule>
  </conditionalFormatting>
  <conditionalFormatting sqref="H3">
    <cfRule type="expression" priority="8" dxfId="0" stopIfTrue="0">
      <formula>=H3="OK"</formula>
    </cfRule>
  </conditionalFormatting>
  <conditionalFormatting sqref="I3">
    <cfRule type="expression" priority="9" dxfId="0" stopIfTrue="0">
      <formula>=I3="OK"</formula>
    </cfRule>
  </conditionalFormatting>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4A86C8"/>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12" customWidth="1" min="3" max="3"/>
    <col width="14" customWidth="1" min="4" max="4"/>
    <col width="14" customWidth="1" min="5" max="5"/>
    <col width="15" customWidth="1" min="6" max="6"/>
    <col width="19" customWidth="1" min="7" max="7"/>
  </cols>
  <sheetData>
    <row r="1" ht="20" customHeight="1">
      <c r="A1" s="4" t="inlineStr">
        <is>
          <t>PLACEHOLDER HEADERS — Update row 2 to match your actual CSV export column names exactly.</t>
        </is>
      </c>
    </row>
    <row r="2">
      <c r="A2" s="5" t="inlineStr">
        <is>
          <t>Date</t>
        </is>
      </c>
      <c r="B2" s="5" t="inlineStr">
        <is>
          <t>Store Name</t>
        </is>
      </c>
      <c r="C2" s="5" t="inlineStr">
        <is>
          <t>Subtotal</t>
        </is>
      </c>
      <c r="D2" s="5" t="inlineStr">
        <is>
          <t>Commission</t>
        </is>
      </c>
      <c r="E2" s="5" t="inlineStr">
        <is>
          <t>Net Payout</t>
        </is>
      </c>
      <c r="F2" s="5" t="inlineStr">
        <is>
          <t>Order Count</t>
        </is>
      </c>
      <c r="G2" s="5" t="inlineStr">
        <is>
          <t>Avg Order Value</t>
        </is>
      </c>
    </row>
    <row r="3" ht="22" customHeight="1">
      <c r="A3" s="6" t="inlineStr">
        <is>
          <t>[Date — text/date]</t>
        </is>
      </c>
      <c r="B3" s="6" t="inlineStr">
        <is>
          <t>[Store Name — text/date]</t>
        </is>
      </c>
      <c r="C3" s="6" t="inlineStr">
        <is>
          <t>[Subtotal — text/date]</t>
        </is>
      </c>
      <c r="D3" s="6" t="inlineStr">
        <is>
          <t>[Commission — text/date]</t>
        </is>
      </c>
      <c r="E3" s="7">
        <f>IF(ISNUMBER(INDEX(DoorDash-Import!A:Z,4,MATCH("Net Payout",DoorDash-Import!2:2,0))),"OK","PASTE ERROR - Net Payout is not a number")</f>
        <v/>
      </c>
      <c r="F3" s="7">
        <f>IF(ISNUMBER(INDEX(DoorDash-Import!A:Z,4,MATCH("Order Count",DoorDash-Import!2:2,0))),"OK","PASTE ERROR - Order Count is not a number")</f>
        <v/>
      </c>
      <c r="G3" s="6" t="inlineStr">
        <is>
          <t>[Avg Order Value — text/date]</t>
        </is>
      </c>
    </row>
    <row r="4">
      <c r="A4" s="8" t="inlineStr">
        <is>
          <t>2026-03-09</t>
        </is>
      </c>
      <c r="B4" s="8" t="inlineStr">
        <is>
          <t>Moto Medi Lubbock</t>
        </is>
      </c>
      <c r="C4" s="8" t="n">
        <v>980</v>
      </c>
      <c r="D4" s="8" t="n">
        <v>196</v>
      </c>
      <c r="E4" s="8" t="n">
        <v>784</v>
      </c>
      <c r="F4" s="8" t="n">
        <v>52</v>
      </c>
      <c r="G4" s="8" t="n">
        <v>18.85</v>
      </c>
    </row>
    <row r="5">
      <c r="A5" s="9" t="inlineStr">
        <is>
          <t>2026-03-10</t>
        </is>
      </c>
      <c r="B5" s="9" t="inlineStr">
        <is>
          <t>Moto Medi Lubbock</t>
        </is>
      </c>
      <c r="C5" s="9" t="n">
        <v>1100</v>
      </c>
      <c r="D5" s="9" t="n">
        <v>220</v>
      </c>
      <c r="E5" s="9" t="n">
        <v>880</v>
      </c>
      <c r="F5" s="9" t="n">
        <v>58</v>
      </c>
      <c r="G5" s="9" t="n">
        <v>18.97</v>
      </c>
    </row>
    <row r="6">
      <c r="A6" s="8" t="inlineStr">
        <is>
          <t>2026-03-11</t>
        </is>
      </c>
      <c r="B6" s="8" t="inlineStr">
        <is>
          <t>Moto Medi Lubbock</t>
        </is>
      </c>
      <c r="C6" s="8" t="n">
        <v>1240</v>
      </c>
      <c r="D6" s="8" t="n">
        <v>248</v>
      </c>
      <c r="E6" s="8" t="n">
        <v>992</v>
      </c>
      <c r="F6" s="8" t="n">
        <v>64</v>
      </c>
      <c r="G6" s="8" t="n">
        <v>19.38</v>
      </c>
    </row>
    <row r="7">
      <c r="A7" s="9" t="inlineStr">
        <is>
          <t>2026-03-12</t>
        </is>
      </c>
      <c r="B7" s="9" t="inlineStr">
        <is>
          <t>Moto Medi Lubbock</t>
        </is>
      </c>
      <c r="C7" s="9" t="n">
        <v>1050</v>
      </c>
      <c r="D7" s="9" t="n">
        <v>210</v>
      </c>
      <c r="E7" s="9" t="n">
        <v>840</v>
      </c>
      <c r="F7" s="9" t="n">
        <v>55</v>
      </c>
      <c r="G7" s="9" t="n">
        <v>19.09</v>
      </c>
    </row>
    <row r="8">
      <c r="A8" s="8" t="inlineStr">
        <is>
          <t>2026-03-13</t>
        </is>
      </c>
      <c r="B8" s="8" t="inlineStr">
        <is>
          <t>Moto Medi Lubbock</t>
        </is>
      </c>
      <c r="C8" s="8" t="n">
        <v>1320</v>
      </c>
      <c r="D8" s="8" t="n">
        <v>264</v>
      </c>
      <c r="E8" s="8" t="n">
        <v>1056</v>
      </c>
      <c r="F8" s="8" t="n">
        <v>70</v>
      </c>
      <c r="G8" s="8" t="n">
        <v>18.86</v>
      </c>
    </row>
    <row r="9">
      <c r="A9" s="9" t="inlineStr">
        <is>
          <t>2026-03-09</t>
        </is>
      </c>
      <c r="B9" s="9" t="inlineStr">
        <is>
          <t>Moto Medi Amarillo</t>
        </is>
      </c>
      <c r="C9" s="9" t="n">
        <v>720</v>
      </c>
      <c r="D9" s="9" t="n">
        <v>144</v>
      </c>
      <c r="E9" s="9" t="n">
        <v>576</v>
      </c>
      <c r="F9" s="9" t="n">
        <v>40</v>
      </c>
      <c r="G9" s="9" t="n">
        <v>18</v>
      </c>
    </row>
    <row r="10">
      <c r="A10" s="8" t="inlineStr">
        <is>
          <t>2026-03-10</t>
        </is>
      </c>
      <c r="B10" s="8" t="inlineStr">
        <is>
          <t>Moto Medi Amarillo</t>
        </is>
      </c>
      <c r="C10" s="8" t="n">
        <v>810</v>
      </c>
      <c r="D10" s="8" t="n">
        <v>162</v>
      </c>
      <c r="E10" s="8" t="n">
        <v>648</v>
      </c>
      <c r="F10" s="8" t="n">
        <v>44</v>
      </c>
      <c r="G10" s="8" t="n">
        <v>18.41</v>
      </c>
    </row>
    <row r="11">
      <c r="A11" s="9" t="inlineStr">
        <is>
          <t>2026-03-11</t>
        </is>
      </c>
      <c r="B11" s="9" t="inlineStr">
        <is>
          <t>Moto Medi Amarillo</t>
        </is>
      </c>
      <c r="C11" s="9" t="n">
        <v>890</v>
      </c>
      <c r="D11" s="9" t="n">
        <v>178</v>
      </c>
      <c r="E11" s="9" t="n">
        <v>712</v>
      </c>
      <c r="F11" s="9" t="n">
        <v>48</v>
      </c>
      <c r="G11" s="9" t="n">
        <v>18.54</v>
      </c>
    </row>
    <row r="12">
      <c r="A12" s="8" t="inlineStr">
        <is>
          <t>2026-03-12</t>
        </is>
      </c>
      <c r="B12" s="8" t="inlineStr">
        <is>
          <t>Moto Medi Amarillo</t>
        </is>
      </c>
      <c r="C12" s="8" t="n">
        <v>760</v>
      </c>
      <c r="D12" s="8" t="n">
        <v>152</v>
      </c>
      <c r="E12" s="8" t="n">
        <v>608</v>
      </c>
      <c r="F12" s="8" t="n">
        <v>42</v>
      </c>
      <c r="G12" s="8" t="n">
        <v>18.1</v>
      </c>
    </row>
    <row r="13">
      <c r="A13" s="9" t="inlineStr">
        <is>
          <t>2026-03-13</t>
        </is>
      </c>
      <c r="B13" s="9" t="inlineStr">
        <is>
          <t>Moto Medi Amarillo</t>
        </is>
      </c>
      <c r="C13" s="9" t="n">
        <v>940</v>
      </c>
      <c r="D13" s="9" t="n">
        <v>188</v>
      </c>
      <c r="E13" s="9" t="n">
        <v>752</v>
      </c>
      <c r="F13" s="9" t="n">
        <v>52</v>
      </c>
      <c r="G13" s="9" t="n">
        <v>18.08</v>
      </c>
    </row>
    <row r="14">
      <c r="A14" s="8" t="inlineStr">
        <is>
          <t>2026-03-09</t>
        </is>
      </c>
      <c r="B14" s="8" t="inlineStr">
        <is>
          <t>Moto Medi 3rd</t>
        </is>
      </c>
      <c r="C14" s="8" t="n">
        <v>560</v>
      </c>
      <c r="D14" s="8" t="n">
        <v>112</v>
      </c>
      <c r="E14" s="8" t="n">
        <v>448</v>
      </c>
      <c r="F14" s="8" t="n">
        <v>32</v>
      </c>
      <c r="G14" s="8" t="n">
        <v>17.5</v>
      </c>
    </row>
    <row r="15">
      <c r="A15" s="9" t="inlineStr">
        <is>
          <t>2026-03-10</t>
        </is>
      </c>
      <c r="B15" s="9" t="inlineStr">
        <is>
          <t>Moto Medi 3rd</t>
        </is>
      </c>
      <c r="C15" s="9" t="n">
        <v>620</v>
      </c>
      <c r="D15" s="9" t="n">
        <v>124</v>
      </c>
      <c r="E15" s="9" t="n">
        <v>496</v>
      </c>
      <c r="F15" s="9" t="n">
        <v>35</v>
      </c>
      <c r="G15" s="9" t="n">
        <v>17.71</v>
      </c>
    </row>
    <row r="16">
      <c r="A16" s="8" t="inlineStr">
        <is>
          <t>2026-03-11</t>
        </is>
      </c>
      <c r="B16" s="8" t="inlineStr">
        <is>
          <t>Moto Medi 3rd</t>
        </is>
      </c>
      <c r="C16" s="8" t="n">
        <v>710</v>
      </c>
      <c r="D16" s="8" t="n">
        <v>142</v>
      </c>
      <c r="E16" s="8" t="n">
        <v>568</v>
      </c>
      <c r="F16" s="8" t="n">
        <v>40</v>
      </c>
      <c r="G16" s="8" t="n">
        <v>17.75</v>
      </c>
    </row>
    <row r="17">
      <c r="A17" s="9" t="inlineStr">
        <is>
          <t>2026-03-12</t>
        </is>
      </c>
      <c r="B17" s="9" t="inlineStr">
        <is>
          <t>Moto Medi 3rd</t>
        </is>
      </c>
      <c r="C17" s="9" t="n">
        <v>590</v>
      </c>
      <c r="D17" s="9" t="n">
        <v>118</v>
      </c>
      <c r="E17" s="9" t="n">
        <v>472</v>
      </c>
      <c r="F17" s="9" t="n">
        <v>34</v>
      </c>
      <c r="G17" s="9" t="n">
        <v>17.35</v>
      </c>
    </row>
    <row r="18">
      <c r="A18" s="8" t="inlineStr">
        <is>
          <t>2026-03-13</t>
        </is>
      </c>
      <c r="B18" s="8" t="inlineStr">
        <is>
          <t>Moto Medi 3rd</t>
        </is>
      </c>
      <c r="C18" s="8" t="n">
        <v>680</v>
      </c>
      <c r="D18" s="8" t="n">
        <v>136</v>
      </c>
      <c r="E18" s="8" t="n">
        <v>544</v>
      </c>
      <c r="F18" s="8" t="n">
        <v>38</v>
      </c>
      <c r="G18" s="8" t="n">
        <v>17.89</v>
      </c>
    </row>
    <row r="19">
      <c r="A19" s="9" t="inlineStr">
        <is>
          <t>2026-03-09</t>
        </is>
      </c>
      <c r="B19" s="9" t="inlineStr">
        <is>
          <t>Tikka Shack 1</t>
        </is>
      </c>
      <c r="C19" s="9" t="n">
        <v>490</v>
      </c>
      <c r="D19" s="9" t="n">
        <v>98</v>
      </c>
      <c r="E19" s="9" t="n">
        <v>392</v>
      </c>
      <c r="F19" s="9" t="n">
        <v>28</v>
      </c>
      <c r="G19" s="9" t="n">
        <v>17.5</v>
      </c>
    </row>
    <row r="20">
      <c r="A20" s="8" t="inlineStr">
        <is>
          <t>2026-03-10</t>
        </is>
      </c>
      <c r="B20" s="8" t="inlineStr">
        <is>
          <t>Tikka Shack 1</t>
        </is>
      </c>
      <c r="C20" s="8" t="n">
        <v>540</v>
      </c>
      <c r="D20" s="8" t="n">
        <v>108</v>
      </c>
      <c r="E20" s="8" t="n">
        <v>432</v>
      </c>
      <c r="F20" s="8" t="n">
        <v>31</v>
      </c>
      <c r="G20" s="8" t="n">
        <v>17.42</v>
      </c>
    </row>
    <row r="21">
      <c r="A21" s="9" t="inlineStr">
        <is>
          <t>2026-03-11</t>
        </is>
      </c>
      <c r="B21" s="9" t="inlineStr">
        <is>
          <t>Tikka Shack 1</t>
        </is>
      </c>
      <c r="C21" s="9" t="n">
        <v>610</v>
      </c>
      <c r="D21" s="9" t="n">
        <v>122</v>
      </c>
      <c r="E21" s="9" t="n">
        <v>488</v>
      </c>
      <c r="F21" s="9" t="n">
        <v>35</v>
      </c>
      <c r="G21" s="9" t="n">
        <v>17.43</v>
      </c>
    </row>
    <row r="22">
      <c r="A22" s="8" t="inlineStr">
        <is>
          <t>2026-03-12</t>
        </is>
      </c>
      <c r="B22" s="8" t="inlineStr">
        <is>
          <t>Tikka Shack 1</t>
        </is>
      </c>
      <c r="C22" s="8" t="n">
        <v>510</v>
      </c>
      <c r="D22" s="8" t="n">
        <v>102</v>
      </c>
      <c r="E22" s="8" t="n">
        <v>408</v>
      </c>
      <c r="F22" s="8" t="n">
        <v>29</v>
      </c>
      <c r="G22" s="8" t="n">
        <v>17.59</v>
      </c>
    </row>
    <row r="23">
      <c r="A23" s="9" t="inlineStr">
        <is>
          <t>2026-03-13</t>
        </is>
      </c>
      <c r="B23" s="9" t="inlineStr">
        <is>
          <t>Tikka Shack 1</t>
        </is>
      </c>
      <c r="C23" s="9" t="n">
        <v>660</v>
      </c>
      <c r="D23" s="9" t="n">
        <v>132</v>
      </c>
      <c r="E23" s="9" t="n">
        <v>528</v>
      </c>
      <c r="F23" s="9" t="n">
        <v>38</v>
      </c>
      <c r="G23" s="9" t="n">
        <v>17.37</v>
      </c>
    </row>
    <row r="24">
      <c r="A24" s="8" t="inlineStr">
        <is>
          <t>2026-03-09</t>
        </is>
      </c>
      <c r="B24" s="8" t="inlineStr">
        <is>
          <t>Tikka Shack 2</t>
        </is>
      </c>
      <c r="C24" s="8" t="n">
        <v>410</v>
      </c>
      <c r="D24" s="8" t="n">
        <v>82</v>
      </c>
      <c r="E24" s="8" t="n">
        <v>328</v>
      </c>
      <c r="F24" s="8" t="n">
        <v>24</v>
      </c>
      <c r="G24" s="8" t="n">
        <v>17.08</v>
      </c>
    </row>
    <row r="25">
      <c r="A25" s="9" t="inlineStr">
        <is>
          <t>2026-03-10</t>
        </is>
      </c>
      <c r="B25" s="9" t="inlineStr">
        <is>
          <t>Tikka Shack 2</t>
        </is>
      </c>
      <c r="C25" s="9" t="n">
        <v>450</v>
      </c>
      <c r="D25" s="9" t="n">
        <v>90</v>
      </c>
      <c r="E25" s="9" t="n">
        <v>360</v>
      </c>
      <c r="F25" s="9" t="n">
        <v>26</v>
      </c>
      <c r="G25" s="9" t="n">
        <v>17.31</v>
      </c>
    </row>
    <row r="26">
      <c r="A26" s="8" t="inlineStr">
        <is>
          <t>2026-03-11</t>
        </is>
      </c>
      <c r="B26" s="8" t="inlineStr">
        <is>
          <t>Tikka Shack 2</t>
        </is>
      </c>
      <c r="C26" s="8" t="n">
        <v>520</v>
      </c>
      <c r="D26" s="8" t="n">
        <v>104</v>
      </c>
      <c r="E26" s="8" t="n">
        <v>416</v>
      </c>
      <c r="F26" s="8" t="n">
        <v>30</v>
      </c>
      <c r="G26" s="8" t="n">
        <v>17.33</v>
      </c>
    </row>
    <row r="27">
      <c r="A27" s="9" t="inlineStr">
        <is>
          <t>2026-03-12</t>
        </is>
      </c>
      <c r="B27" s="9" t="inlineStr">
        <is>
          <t>Tikka Shack 2</t>
        </is>
      </c>
      <c r="C27" s="9" t="n">
        <v>430</v>
      </c>
      <c r="D27" s="9" t="n">
        <v>86</v>
      </c>
      <c r="E27" s="9" t="n">
        <v>344</v>
      </c>
      <c r="F27" s="9" t="n">
        <v>25</v>
      </c>
      <c r="G27" s="9" t="n">
        <v>17.2</v>
      </c>
    </row>
    <row r="28">
      <c r="A28" s="8" t="inlineStr">
        <is>
          <t>2026-03-13</t>
        </is>
      </c>
      <c r="B28" s="8" t="inlineStr">
        <is>
          <t>Tikka Shack 2</t>
        </is>
      </c>
      <c r="C28" s="8" t="n">
        <v>570</v>
      </c>
      <c r="D28" s="8" t="n">
        <v>114</v>
      </c>
      <c r="E28" s="8" t="n">
        <v>456</v>
      </c>
      <c r="F28" s="8" t="n">
        <v>33</v>
      </c>
      <c r="G28" s="8" t="n">
        <v>17.27</v>
      </c>
    </row>
    <row r="30">
      <c r="A30" s="10" t="inlineStr">
        <is>
          <t>Last Updated:</t>
        </is>
      </c>
      <c r="B30" s="11" t="inlineStr"/>
    </row>
  </sheetData>
  <mergeCells count="1">
    <mergeCell ref="A1:G1"/>
  </mergeCells>
  <conditionalFormatting sqref="A3">
    <cfRule type="expression" priority="1" dxfId="0" stopIfTrue="0">
      <formula>=A3="OK"</formula>
    </cfRule>
  </conditionalFormatting>
  <conditionalFormatting sqref="B3">
    <cfRule type="expression" priority="2" dxfId="0" stopIfTrue="0">
      <formula>=B3="OK"</formula>
    </cfRule>
  </conditionalFormatting>
  <conditionalFormatting sqref="C3">
    <cfRule type="expression" priority="3" dxfId="0" stopIfTrue="0">
      <formula>=C3="OK"</formula>
    </cfRule>
  </conditionalFormatting>
  <conditionalFormatting sqref="D3">
    <cfRule type="expression" priority="4" dxfId="0" stopIfTrue="0">
      <formula>=D3="OK"</formula>
    </cfRule>
  </conditionalFormatting>
  <conditionalFormatting sqref="E3">
    <cfRule type="expression" priority="5" dxfId="0" stopIfTrue="0">
      <formula>=E3="OK"</formula>
    </cfRule>
  </conditionalFormatting>
  <conditionalFormatting sqref="F3">
    <cfRule type="expression" priority="6" dxfId="0" stopIfTrue="0">
      <formula>=F3="OK"</formula>
    </cfRule>
  </conditionalFormatting>
  <conditionalFormatting sqref="G3">
    <cfRule type="expression" priority="7" dxfId="0" stopIfTrue="0">
      <formula>=G3="OK"</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4A86C8"/>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10" customWidth="1" min="1" max="1"/>
    <col width="19" customWidth="1" min="2" max="2"/>
    <col width="10" customWidth="1" min="3" max="3"/>
    <col width="19" customWidth="1" min="4" max="4"/>
    <col width="14" customWidth="1" min="5" max="5"/>
    <col width="10" customWidth="1" min="6" max="6"/>
    <col width="14" customWidth="1" min="7" max="7"/>
  </cols>
  <sheetData>
    <row r="1" ht="20" customHeight="1">
      <c r="A1" s="4" t="inlineStr">
        <is>
          <t>PLACEHOLDER HEADERS — Update row 2 to match your actual CSV export column names exactly.</t>
        </is>
      </c>
    </row>
    <row r="2">
      <c r="A2" s="5" t="inlineStr">
        <is>
          <t>Date</t>
        </is>
      </c>
      <c r="B2" s="5" t="inlineStr">
        <is>
          <t>Restaurant Name</t>
        </is>
      </c>
      <c r="C2" s="5" t="inlineStr">
        <is>
          <t>Sales</t>
        </is>
      </c>
      <c r="D2" s="5" t="inlineStr">
        <is>
          <t>Marketplace Fee</t>
        </is>
      </c>
      <c r="E2" s="5" t="inlineStr">
        <is>
          <t>Net Payout</t>
        </is>
      </c>
      <c r="F2" s="5" t="inlineStr">
        <is>
          <t>Trips</t>
        </is>
      </c>
      <c r="G2" s="5" t="inlineStr">
        <is>
          <t>Avg Basket</t>
        </is>
      </c>
    </row>
    <row r="3" ht="22" customHeight="1">
      <c r="A3" s="6" t="inlineStr">
        <is>
          <t>[Date — text/date]</t>
        </is>
      </c>
      <c r="B3" s="6" t="inlineStr">
        <is>
          <t>[Restaurant Name — text/date]</t>
        </is>
      </c>
      <c r="C3" s="7">
        <f>IF(ISNUMBER(INDEX(UberEats-Import!A:Z,4,MATCH("Sales",UberEats-Import!2:2,0))),"OK","PASTE ERROR - Sales is not a number")</f>
        <v/>
      </c>
      <c r="D3" s="6" t="inlineStr">
        <is>
          <t>[Marketplace Fee — text/date]</t>
        </is>
      </c>
      <c r="E3" s="7">
        <f>IF(ISNUMBER(INDEX(UberEats-Import!A:Z,4,MATCH("Net Payout",UberEats-Import!2:2,0))),"OK","PASTE ERROR - Net Payout is not a number")</f>
        <v/>
      </c>
      <c r="F3" s="7">
        <f>IF(ISNUMBER(INDEX(UberEats-Import!A:Z,4,MATCH("Trips",UberEats-Import!2:2,0))),"OK","PASTE ERROR - Trips is not a number")</f>
        <v/>
      </c>
      <c r="G3" s="6" t="inlineStr">
        <is>
          <t>[Avg Basket — text/date]</t>
        </is>
      </c>
    </row>
    <row r="4">
      <c r="A4" s="8" t="inlineStr">
        <is>
          <t>2026-03-09</t>
        </is>
      </c>
      <c r="B4" s="8" t="inlineStr">
        <is>
          <t>Moto Medi Lubbock</t>
        </is>
      </c>
      <c r="C4" s="8" t="n">
        <v>740</v>
      </c>
      <c r="D4" s="8" t="n">
        <v>185</v>
      </c>
      <c r="E4" s="8" t="n">
        <v>555</v>
      </c>
      <c r="F4" s="8" t="n">
        <v>40</v>
      </c>
      <c r="G4" s="8" t="n">
        <v>18.5</v>
      </c>
    </row>
    <row r="5">
      <c r="A5" s="9" t="inlineStr">
        <is>
          <t>2026-03-10</t>
        </is>
      </c>
      <c r="B5" s="9" t="inlineStr">
        <is>
          <t>Moto Medi Lubbock</t>
        </is>
      </c>
      <c r="C5" s="9" t="n">
        <v>820</v>
      </c>
      <c r="D5" s="9" t="n">
        <v>205</v>
      </c>
      <c r="E5" s="9" t="n">
        <v>615</v>
      </c>
      <c r="F5" s="9" t="n">
        <v>44</v>
      </c>
      <c r="G5" s="9" t="n">
        <v>18.64</v>
      </c>
    </row>
    <row r="6">
      <c r="A6" s="8" t="inlineStr">
        <is>
          <t>2026-03-11</t>
        </is>
      </c>
      <c r="B6" s="8" t="inlineStr">
        <is>
          <t>Moto Medi Lubbock</t>
        </is>
      </c>
      <c r="C6" s="8" t="n">
        <v>940</v>
      </c>
      <c r="D6" s="8" t="n">
        <v>235</v>
      </c>
      <c r="E6" s="8" t="n">
        <v>705</v>
      </c>
      <c r="F6" s="8" t="n">
        <v>50</v>
      </c>
      <c r="G6" s="8" t="n">
        <v>18.8</v>
      </c>
    </row>
    <row r="7">
      <c r="A7" s="9" t="inlineStr">
        <is>
          <t>2026-03-12</t>
        </is>
      </c>
      <c r="B7" s="9" t="inlineStr">
        <is>
          <t>Moto Medi Lubbock</t>
        </is>
      </c>
      <c r="C7" s="9" t="n">
        <v>780</v>
      </c>
      <c r="D7" s="9" t="n">
        <v>195</v>
      </c>
      <c r="E7" s="9" t="n">
        <v>585</v>
      </c>
      <c r="F7" s="9" t="n">
        <v>42</v>
      </c>
      <c r="G7" s="9" t="n">
        <v>18.57</v>
      </c>
    </row>
    <row r="8">
      <c r="A8" s="8" t="inlineStr">
        <is>
          <t>2026-03-13</t>
        </is>
      </c>
      <c r="B8" s="8" t="inlineStr">
        <is>
          <t>Moto Medi Lubbock</t>
        </is>
      </c>
      <c r="C8" s="8" t="n">
        <v>980</v>
      </c>
      <c r="D8" s="8" t="n">
        <v>245</v>
      </c>
      <c r="E8" s="8" t="n">
        <v>735</v>
      </c>
      <c r="F8" s="8" t="n">
        <v>53</v>
      </c>
      <c r="G8" s="8" t="n">
        <v>18.49</v>
      </c>
    </row>
    <row r="9">
      <c r="A9" s="9" t="inlineStr">
        <is>
          <t>2026-03-09</t>
        </is>
      </c>
      <c r="B9" s="9" t="inlineStr">
        <is>
          <t>Moto Medi Amarillo</t>
        </is>
      </c>
      <c r="C9" s="9" t="n">
        <v>560</v>
      </c>
      <c r="D9" s="9" t="n">
        <v>140</v>
      </c>
      <c r="E9" s="9" t="n">
        <v>420</v>
      </c>
      <c r="F9" s="9" t="n">
        <v>30</v>
      </c>
      <c r="G9" s="9" t="n">
        <v>18.67</v>
      </c>
    </row>
    <row r="10">
      <c r="A10" s="8" t="inlineStr">
        <is>
          <t>2026-03-10</t>
        </is>
      </c>
      <c r="B10" s="8" t="inlineStr">
        <is>
          <t>Moto Medi Amarillo</t>
        </is>
      </c>
      <c r="C10" s="8" t="n">
        <v>610</v>
      </c>
      <c r="D10" s="8" t="n">
        <v>152.5</v>
      </c>
      <c r="E10" s="8" t="n">
        <v>457.5</v>
      </c>
      <c r="F10" s="8" t="n">
        <v>33</v>
      </c>
      <c r="G10" s="8" t="n">
        <v>18.48</v>
      </c>
    </row>
    <row r="11">
      <c r="A11" s="9" t="inlineStr">
        <is>
          <t>2026-03-11</t>
        </is>
      </c>
      <c r="B11" s="9" t="inlineStr">
        <is>
          <t>Moto Medi Amarillo</t>
        </is>
      </c>
      <c r="C11" s="9" t="n">
        <v>680</v>
      </c>
      <c r="D11" s="9" t="n">
        <v>170</v>
      </c>
      <c r="E11" s="9" t="n">
        <v>510</v>
      </c>
      <c r="F11" s="9" t="n">
        <v>37</v>
      </c>
      <c r="G11" s="9" t="n">
        <v>18.38</v>
      </c>
    </row>
    <row r="12">
      <c r="A12" s="8" t="inlineStr">
        <is>
          <t>2026-03-12</t>
        </is>
      </c>
      <c r="B12" s="8" t="inlineStr">
        <is>
          <t>Moto Medi Amarillo</t>
        </is>
      </c>
      <c r="C12" s="8" t="n">
        <v>590</v>
      </c>
      <c r="D12" s="8" t="n">
        <v>147.5</v>
      </c>
      <c r="E12" s="8" t="n">
        <v>442.5</v>
      </c>
      <c r="F12" s="8" t="n">
        <v>32</v>
      </c>
      <c r="G12" s="8" t="n">
        <v>18.44</v>
      </c>
    </row>
    <row r="13">
      <c r="A13" s="9" t="inlineStr">
        <is>
          <t>2026-03-13</t>
        </is>
      </c>
      <c r="B13" s="9" t="inlineStr">
        <is>
          <t>Moto Medi Amarillo</t>
        </is>
      </c>
      <c r="C13" s="9" t="n">
        <v>720</v>
      </c>
      <c r="D13" s="9" t="n">
        <v>180</v>
      </c>
      <c r="E13" s="9" t="n">
        <v>540</v>
      </c>
      <c r="F13" s="9" t="n">
        <v>39</v>
      </c>
      <c r="G13" s="9" t="n">
        <v>18.46</v>
      </c>
    </row>
    <row r="14">
      <c r="A14" s="8" t="inlineStr">
        <is>
          <t>2026-03-09</t>
        </is>
      </c>
      <c r="B14" s="8" t="inlineStr">
        <is>
          <t>Moto Medi 3rd</t>
        </is>
      </c>
      <c r="C14" s="8" t="n">
        <v>420</v>
      </c>
      <c r="D14" s="8" t="n">
        <v>105</v>
      </c>
      <c r="E14" s="8" t="n">
        <v>315</v>
      </c>
      <c r="F14" s="8" t="n">
        <v>23</v>
      </c>
      <c r="G14" s="8" t="n">
        <v>18.26</v>
      </c>
    </row>
    <row r="15">
      <c r="A15" s="9" t="inlineStr">
        <is>
          <t>2026-03-10</t>
        </is>
      </c>
      <c r="B15" s="9" t="inlineStr">
        <is>
          <t>Moto Medi 3rd</t>
        </is>
      </c>
      <c r="C15" s="9" t="n">
        <v>470</v>
      </c>
      <c r="D15" s="9" t="n">
        <v>117.5</v>
      </c>
      <c r="E15" s="9" t="n">
        <v>352.5</v>
      </c>
      <c r="F15" s="9" t="n">
        <v>25</v>
      </c>
      <c r="G15" s="9" t="n">
        <v>18.8</v>
      </c>
    </row>
    <row r="16">
      <c r="A16" s="8" t="inlineStr">
        <is>
          <t>2026-03-11</t>
        </is>
      </c>
      <c r="B16" s="8" t="inlineStr">
        <is>
          <t>Moto Medi 3rd</t>
        </is>
      </c>
      <c r="C16" s="8" t="n">
        <v>540</v>
      </c>
      <c r="D16" s="8" t="n">
        <v>135</v>
      </c>
      <c r="E16" s="8" t="n">
        <v>405</v>
      </c>
      <c r="F16" s="8" t="n">
        <v>29</v>
      </c>
      <c r="G16" s="8" t="n">
        <v>18.62</v>
      </c>
    </row>
    <row r="17">
      <c r="A17" s="9" t="inlineStr">
        <is>
          <t>2026-03-12</t>
        </is>
      </c>
      <c r="B17" s="9" t="inlineStr">
        <is>
          <t>Moto Medi 3rd</t>
        </is>
      </c>
      <c r="C17" s="9" t="n">
        <v>440</v>
      </c>
      <c r="D17" s="9" t="n">
        <v>110</v>
      </c>
      <c r="E17" s="9" t="n">
        <v>330</v>
      </c>
      <c r="F17" s="9" t="n">
        <v>24</v>
      </c>
      <c r="G17" s="9" t="n">
        <v>18.33</v>
      </c>
    </row>
    <row r="18">
      <c r="A18" s="8" t="inlineStr">
        <is>
          <t>2026-03-13</t>
        </is>
      </c>
      <c r="B18" s="8" t="inlineStr">
        <is>
          <t>Moto Medi 3rd</t>
        </is>
      </c>
      <c r="C18" s="8" t="n">
        <v>510</v>
      </c>
      <c r="D18" s="8" t="n">
        <v>127.5</v>
      </c>
      <c r="E18" s="8" t="n">
        <v>382.5</v>
      </c>
      <c r="F18" s="8" t="n">
        <v>28</v>
      </c>
      <c r="G18" s="8" t="n">
        <v>18.21</v>
      </c>
    </row>
    <row r="19">
      <c r="A19" s="9" t="inlineStr">
        <is>
          <t>2026-03-09</t>
        </is>
      </c>
      <c r="B19" s="9" t="inlineStr">
        <is>
          <t>Tikka Shack 1</t>
        </is>
      </c>
      <c r="C19" s="9" t="n">
        <v>360</v>
      </c>
      <c r="D19" s="9" t="n">
        <v>90</v>
      </c>
      <c r="E19" s="9" t="n">
        <v>270</v>
      </c>
      <c r="F19" s="9" t="n">
        <v>20</v>
      </c>
      <c r="G19" s="9" t="n">
        <v>18</v>
      </c>
    </row>
    <row r="20">
      <c r="A20" s="8" t="inlineStr">
        <is>
          <t>2026-03-10</t>
        </is>
      </c>
      <c r="B20" s="8" t="inlineStr">
        <is>
          <t>Tikka Shack 1</t>
        </is>
      </c>
      <c r="C20" s="8" t="n">
        <v>400</v>
      </c>
      <c r="D20" s="8" t="n">
        <v>100</v>
      </c>
      <c r="E20" s="8" t="n">
        <v>300</v>
      </c>
      <c r="F20" s="8" t="n">
        <v>22</v>
      </c>
      <c r="G20" s="8" t="n">
        <v>18.18</v>
      </c>
    </row>
    <row r="21">
      <c r="A21" s="9" t="inlineStr">
        <is>
          <t>2026-03-11</t>
        </is>
      </c>
      <c r="B21" s="9" t="inlineStr">
        <is>
          <t>Tikka Shack 1</t>
        </is>
      </c>
      <c r="C21" s="9" t="n">
        <v>460</v>
      </c>
      <c r="D21" s="9" t="n">
        <v>115</v>
      </c>
      <c r="E21" s="9" t="n">
        <v>345</v>
      </c>
      <c r="F21" s="9" t="n">
        <v>25</v>
      </c>
      <c r="G21" s="9" t="n">
        <v>18.4</v>
      </c>
    </row>
    <row r="22">
      <c r="A22" s="8" t="inlineStr">
        <is>
          <t>2026-03-12</t>
        </is>
      </c>
      <c r="B22" s="8" t="inlineStr">
        <is>
          <t>Tikka Shack 1</t>
        </is>
      </c>
      <c r="C22" s="8" t="n">
        <v>380</v>
      </c>
      <c r="D22" s="8" t="n">
        <v>95</v>
      </c>
      <c r="E22" s="8" t="n">
        <v>285</v>
      </c>
      <c r="F22" s="8" t="n">
        <v>21</v>
      </c>
      <c r="G22" s="8" t="n">
        <v>18.1</v>
      </c>
    </row>
    <row r="23">
      <c r="A23" s="9" t="inlineStr">
        <is>
          <t>2026-03-13</t>
        </is>
      </c>
      <c r="B23" s="9" t="inlineStr">
        <is>
          <t>Tikka Shack 1</t>
        </is>
      </c>
      <c r="C23" s="9" t="n">
        <v>490</v>
      </c>
      <c r="D23" s="9" t="n">
        <v>122.5</v>
      </c>
      <c r="E23" s="9" t="n">
        <v>367.5</v>
      </c>
      <c r="F23" s="9" t="n">
        <v>27</v>
      </c>
      <c r="G23" s="9" t="n">
        <v>18.15</v>
      </c>
    </row>
    <row r="24">
      <c r="A24" s="8" t="inlineStr">
        <is>
          <t>2026-03-09</t>
        </is>
      </c>
      <c r="B24" s="8" t="inlineStr">
        <is>
          <t>Tikka Shack 2</t>
        </is>
      </c>
      <c r="C24" s="8" t="n">
        <v>300</v>
      </c>
      <c r="D24" s="8" t="n">
        <v>75</v>
      </c>
      <c r="E24" s="8" t="n">
        <v>225</v>
      </c>
      <c r="F24" s="8" t="n">
        <v>17</v>
      </c>
      <c r="G24" s="8" t="n">
        <v>17.65</v>
      </c>
    </row>
    <row r="25">
      <c r="A25" s="9" t="inlineStr">
        <is>
          <t>2026-03-10</t>
        </is>
      </c>
      <c r="B25" s="9" t="inlineStr">
        <is>
          <t>Tikka Shack 2</t>
        </is>
      </c>
      <c r="C25" s="9" t="n">
        <v>340</v>
      </c>
      <c r="D25" s="9" t="n">
        <v>85</v>
      </c>
      <c r="E25" s="9" t="n">
        <v>255</v>
      </c>
      <c r="F25" s="9" t="n">
        <v>19</v>
      </c>
      <c r="G25" s="9" t="n">
        <v>17.89</v>
      </c>
    </row>
    <row r="26">
      <c r="A26" s="8" t="inlineStr">
        <is>
          <t>2026-03-11</t>
        </is>
      </c>
      <c r="B26" s="8" t="inlineStr">
        <is>
          <t>Tikka Shack 2</t>
        </is>
      </c>
      <c r="C26" s="8" t="n">
        <v>390</v>
      </c>
      <c r="D26" s="8" t="n">
        <v>97.5</v>
      </c>
      <c r="E26" s="8" t="n">
        <v>292.5</v>
      </c>
      <c r="F26" s="8" t="n">
        <v>22</v>
      </c>
      <c r="G26" s="8" t="n">
        <v>17.73</v>
      </c>
    </row>
    <row r="27">
      <c r="A27" s="9" t="inlineStr">
        <is>
          <t>2026-03-12</t>
        </is>
      </c>
      <c r="B27" s="9" t="inlineStr">
        <is>
          <t>Tikka Shack 2</t>
        </is>
      </c>
      <c r="C27" s="9" t="n">
        <v>310</v>
      </c>
      <c r="D27" s="9" t="n">
        <v>77.5</v>
      </c>
      <c r="E27" s="9" t="n">
        <v>232.5</v>
      </c>
      <c r="F27" s="9" t="n">
        <v>18</v>
      </c>
      <c r="G27" s="9" t="n">
        <v>17.22</v>
      </c>
    </row>
    <row r="28">
      <c r="A28" s="8" t="inlineStr">
        <is>
          <t>2026-03-13</t>
        </is>
      </c>
      <c r="B28" s="8" t="inlineStr">
        <is>
          <t>Tikka Shack 2</t>
        </is>
      </c>
      <c r="C28" s="8" t="n">
        <v>420</v>
      </c>
      <c r="D28" s="8" t="n">
        <v>105</v>
      </c>
      <c r="E28" s="8" t="n">
        <v>315</v>
      </c>
      <c r="F28" s="8" t="n">
        <v>24</v>
      </c>
      <c r="G28" s="8" t="n">
        <v>17.5</v>
      </c>
    </row>
    <row r="30">
      <c r="A30" s="10" t="inlineStr">
        <is>
          <t>Last Updated:</t>
        </is>
      </c>
      <c r="B30" s="11" t="inlineStr"/>
    </row>
  </sheetData>
  <mergeCells count="1">
    <mergeCell ref="A1:G1"/>
  </mergeCells>
  <conditionalFormatting sqref="A3">
    <cfRule type="expression" priority="1" dxfId="0" stopIfTrue="0">
      <formula>=A3="OK"</formula>
    </cfRule>
  </conditionalFormatting>
  <conditionalFormatting sqref="B3">
    <cfRule type="expression" priority="2" dxfId="0" stopIfTrue="0">
      <formula>=B3="OK"</formula>
    </cfRule>
  </conditionalFormatting>
  <conditionalFormatting sqref="C3">
    <cfRule type="expression" priority="3" dxfId="0" stopIfTrue="0">
      <formula>=C3="OK"</formula>
    </cfRule>
  </conditionalFormatting>
  <conditionalFormatting sqref="D3">
    <cfRule type="expression" priority="4" dxfId="0" stopIfTrue="0">
      <formula>=D3="OK"</formula>
    </cfRule>
  </conditionalFormatting>
  <conditionalFormatting sqref="E3">
    <cfRule type="expression" priority="5" dxfId="0" stopIfTrue="0">
      <formula>=E3="OK"</formula>
    </cfRule>
  </conditionalFormatting>
  <conditionalFormatting sqref="F3">
    <cfRule type="expression" priority="6" dxfId="0" stopIfTrue="0">
      <formula>=F3="OK"</formula>
    </cfRule>
  </conditionalFormatting>
  <conditionalFormatting sqref="G3">
    <cfRule type="expression" priority="7" dxfId="0" stopIfTrue="0">
      <formula>=G3="OK"</formula>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4A86C8"/>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14" customWidth="1" min="3" max="3"/>
    <col width="16" customWidth="1" min="4" max="4"/>
    <col width="22" customWidth="1" min="5" max="5"/>
    <col width="14" customWidth="1" min="6" max="6"/>
    <col width="10" customWidth="1" min="7" max="7"/>
  </cols>
  <sheetData>
    <row r="1" ht="20" customHeight="1">
      <c r="A1" s="4" t="inlineStr">
        <is>
          <t>PLACEHOLDER HEADERS — Update row 2 to match your actual CSV export column names exactly.</t>
        </is>
      </c>
    </row>
    <row r="2">
      <c r="A2" s="5" t="inlineStr">
        <is>
          <t>Date</t>
        </is>
      </c>
      <c r="B2" s="5" t="inlineStr">
        <is>
          <t>Restaurant</t>
        </is>
      </c>
      <c r="C2" s="5" t="inlineStr">
        <is>
          <t>Food Sales</t>
        </is>
      </c>
      <c r="D2" s="5" t="inlineStr">
        <is>
          <t>Delivery Fee</t>
        </is>
      </c>
      <c r="E2" s="5" t="inlineStr">
        <is>
          <t>Grubhub Commission</t>
        </is>
      </c>
      <c r="F2" s="5" t="inlineStr">
        <is>
          <t>Net Payout</t>
        </is>
      </c>
      <c r="G2" s="5" t="inlineStr">
        <is>
          <t>Orders</t>
        </is>
      </c>
    </row>
    <row r="3" ht="22" customHeight="1">
      <c r="A3" s="6" t="inlineStr">
        <is>
          <t>[Date — text/date]</t>
        </is>
      </c>
      <c r="B3" s="6" t="inlineStr">
        <is>
          <t>[Restaurant — text/date]</t>
        </is>
      </c>
      <c r="C3" s="7">
        <f>IF(ISNUMBER(INDEX(Grubhub-Import!A:Z,4,MATCH("Food Sales",Grubhub-Import!2:2,0))),"OK","PASTE ERROR - Food Sales is not a number")</f>
        <v/>
      </c>
      <c r="D3" s="6" t="inlineStr">
        <is>
          <t>[Delivery Fee — text/date]</t>
        </is>
      </c>
      <c r="E3" s="6" t="inlineStr">
        <is>
          <t>[Grubhub Commission — text/date]</t>
        </is>
      </c>
      <c r="F3" s="7">
        <f>IF(ISNUMBER(INDEX(Grubhub-Import!A:Z,4,MATCH("Net Payout",Grubhub-Import!2:2,0))),"OK","PASTE ERROR - Net Payout is not a number")</f>
        <v/>
      </c>
      <c r="G3" s="7">
        <f>IF(ISNUMBER(INDEX(Grubhub-Import!A:Z,4,MATCH("Orders",Grubhub-Import!2:2,0))),"OK","PASTE ERROR - Orders is not a number")</f>
        <v/>
      </c>
    </row>
    <row r="4">
      <c r="A4" s="8" t="inlineStr">
        <is>
          <t>2026-03-09</t>
        </is>
      </c>
      <c r="B4" s="8" t="inlineStr">
        <is>
          <t>Moto Medi Lubbock</t>
        </is>
      </c>
      <c r="C4" s="8" t="n">
        <v>380</v>
      </c>
      <c r="D4" s="8" t="n">
        <v>45</v>
      </c>
      <c r="E4" s="8" t="n">
        <v>76</v>
      </c>
      <c r="F4" s="8" t="n">
        <v>259</v>
      </c>
      <c r="G4" s="8" t="n">
        <v>21</v>
      </c>
    </row>
    <row r="5">
      <c r="A5" s="9" t="inlineStr">
        <is>
          <t>2026-03-10</t>
        </is>
      </c>
      <c r="B5" s="9" t="inlineStr">
        <is>
          <t>Moto Medi Lubbock</t>
        </is>
      </c>
      <c r="C5" s="9" t="n">
        <v>420</v>
      </c>
      <c r="D5" s="9" t="n">
        <v>50</v>
      </c>
      <c r="E5" s="9" t="n">
        <v>84</v>
      </c>
      <c r="F5" s="9" t="n">
        <v>286</v>
      </c>
      <c r="G5" s="9" t="n">
        <v>23</v>
      </c>
    </row>
    <row r="6">
      <c r="A6" s="8" t="inlineStr">
        <is>
          <t>2026-03-11</t>
        </is>
      </c>
      <c r="B6" s="8" t="inlineStr">
        <is>
          <t>Moto Medi Lubbock</t>
        </is>
      </c>
      <c r="C6" s="8" t="n">
        <v>500</v>
      </c>
      <c r="D6" s="8" t="n">
        <v>58</v>
      </c>
      <c r="E6" s="8" t="n">
        <v>100</v>
      </c>
      <c r="F6" s="8" t="n">
        <v>342</v>
      </c>
      <c r="G6" s="8" t="n">
        <v>27</v>
      </c>
    </row>
    <row r="7">
      <c r="A7" s="9" t="inlineStr">
        <is>
          <t>2026-03-12</t>
        </is>
      </c>
      <c r="B7" s="9" t="inlineStr">
        <is>
          <t>Moto Medi Lubbock</t>
        </is>
      </c>
      <c r="C7" s="9" t="n">
        <v>410</v>
      </c>
      <c r="D7" s="9" t="n">
        <v>48</v>
      </c>
      <c r="E7" s="9" t="n">
        <v>82</v>
      </c>
      <c r="F7" s="9" t="n">
        <v>280</v>
      </c>
      <c r="G7" s="9" t="n">
        <v>22</v>
      </c>
    </row>
    <row r="8">
      <c r="A8" s="8" t="inlineStr">
        <is>
          <t>2026-03-13</t>
        </is>
      </c>
      <c r="B8" s="8" t="inlineStr">
        <is>
          <t>Moto Medi Lubbock</t>
        </is>
      </c>
      <c r="C8" s="8" t="n">
        <v>540</v>
      </c>
      <c r="D8" s="8" t="n">
        <v>62</v>
      </c>
      <c r="E8" s="8" t="n">
        <v>108</v>
      </c>
      <c r="F8" s="8" t="n">
        <v>370</v>
      </c>
      <c r="G8" s="8" t="n">
        <v>29</v>
      </c>
    </row>
    <row r="9">
      <c r="A9" s="9" t="inlineStr">
        <is>
          <t>2026-03-09</t>
        </is>
      </c>
      <c r="B9" s="9" t="inlineStr">
        <is>
          <t>Moto Medi Amarillo</t>
        </is>
      </c>
      <c r="C9" s="9" t="n">
        <v>280</v>
      </c>
      <c r="D9" s="9" t="n">
        <v>34</v>
      </c>
      <c r="E9" s="9" t="n">
        <v>56</v>
      </c>
      <c r="F9" s="9" t="n">
        <v>190</v>
      </c>
      <c r="G9" s="9" t="n">
        <v>16</v>
      </c>
    </row>
    <row r="10">
      <c r="A10" s="8" t="inlineStr">
        <is>
          <t>2026-03-10</t>
        </is>
      </c>
      <c r="B10" s="8" t="inlineStr">
        <is>
          <t>Moto Medi Amarillo</t>
        </is>
      </c>
      <c r="C10" s="8" t="n">
        <v>320</v>
      </c>
      <c r="D10" s="8" t="n">
        <v>38</v>
      </c>
      <c r="E10" s="8" t="n">
        <v>64</v>
      </c>
      <c r="F10" s="8" t="n">
        <v>218</v>
      </c>
      <c r="G10" s="8" t="n">
        <v>18</v>
      </c>
    </row>
    <row r="11">
      <c r="A11" s="9" t="inlineStr">
        <is>
          <t>2026-03-11</t>
        </is>
      </c>
      <c r="B11" s="9" t="inlineStr">
        <is>
          <t>Moto Medi Amarillo</t>
        </is>
      </c>
      <c r="C11" s="9" t="n">
        <v>370</v>
      </c>
      <c r="D11" s="9" t="n">
        <v>44</v>
      </c>
      <c r="E11" s="9" t="n">
        <v>74</v>
      </c>
      <c r="F11" s="9" t="n">
        <v>252</v>
      </c>
      <c r="G11" s="9" t="n">
        <v>20</v>
      </c>
    </row>
    <row r="12">
      <c r="A12" s="8" t="inlineStr">
        <is>
          <t>2026-03-12</t>
        </is>
      </c>
      <c r="B12" s="8" t="inlineStr">
        <is>
          <t>Moto Medi Amarillo</t>
        </is>
      </c>
      <c r="C12" s="8" t="n">
        <v>290</v>
      </c>
      <c r="D12" s="8" t="n">
        <v>35</v>
      </c>
      <c r="E12" s="8" t="n">
        <v>58</v>
      </c>
      <c r="F12" s="8" t="n">
        <v>197</v>
      </c>
      <c r="G12" s="8" t="n">
        <v>16</v>
      </c>
    </row>
    <row r="13">
      <c r="A13" s="9" t="inlineStr">
        <is>
          <t>2026-03-13</t>
        </is>
      </c>
      <c r="B13" s="9" t="inlineStr">
        <is>
          <t>Moto Medi Amarillo</t>
        </is>
      </c>
      <c r="C13" s="9" t="n">
        <v>400</v>
      </c>
      <c r="D13" s="9" t="n">
        <v>47</v>
      </c>
      <c r="E13" s="9" t="n">
        <v>80</v>
      </c>
      <c r="F13" s="9" t="n">
        <v>273</v>
      </c>
      <c r="G13" s="9" t="n">
        <v>22</v>
      </c>
    </row>
    <row r="14">
      <c r="A14" s="8" t="inlineStr">
        <is>
          <t>2026-03-09</t>
        </is>
      </c>
      <c r="B14" s="8" t="inlineStr">
        <is>
          <t>Moto Medi 3rd</t>
        </is>
      </c>
      <c r="C14" s="8" t="n">
        <v>200</v>
      </c>
      <c r="D14" s="8" t="n">
        <v>25</v>
      </c>
      <c r="E14" s="8" t="n">
        <v>40</v>
      </c>
      <c r="F14" s="8" t="n">
        <v>135</v>
      </c>
      <c r="G14" s="8" t="n">
        <v>11</v>
      </c>
    </row>
    <row r="15">
      <c r="A15" s="9" t="inlineStr">
        <is>
          <t>2026-03-10</t>
        </is>
      </c>
      <c r="B15" s="9" t="inlineStr">
        <is>
          <t>Moto Medi 3rd</t>
        </is>
      </c>
      <c r="C15" s="9" t="n">
        <v>230</v>
      </c>
      <c r="D15" s="9" t="n">
        <v>28</v>
      </c>
      <c r="E15" s="9" t="n">
        <v>46</v>
      </c>
      <c r="F15" s="9" t="n">
        <v>156</v>
      </c>
      <c r="G15" s="9" t="n">
        <v>13</v>
      </c>
    </row>
    <row r="16">
      <c r="A16" s="8" t="inlineStr">
        <is>
          <t>2026-03-11</t>
        </is>
      </c>
      <c r="B16" s="8" t="inlineStr">
        <is>
          <t>Moto Medi 3rd</t>
        </is>
      </c>
      <c r="C16" s="8" t="n">
        <v>270</v>
      </c>
      <c r="D16" s="8" t="n">
        <v>32</v>
      </c>
      <c r="E16" s="8" t="n">
        <v>54</v>
      </c>
      <c r="F16" s="8" t="n">
        <v>184</v>
      </c>
      <c r="G16" s="8" t="n">
        <v>15</v>
      </c>
    </row>
    <row r="17">
      <c r="A17" s="9" t="inlineStr">
        <is>
          <t>2026-03-12</t>
        </is>
      </c>
      <c r="B17" s="9" t="inlineStr">
        <is>
          <t>Moto Medi 3rd</t>
        </is>
      </c>
      <c r="C17" s="9" t="n">
        <v>210</v>
      </c>
      <c r="D17" s="9" t="n">
        <v>26</v>
      </c>
      <c r="E17" s="9" t="n">
        <v>42</v>
      </c>
      <c r="F17" s="9" t="n">
        <v>142</v>
      </c>
      <c r="G17" s="9" t="n">
        <v>12</v>
      </c>
    </row>
    <row r="18">
      <c r="A18" s="8" t="inlineStr">
        <is>
          <t>2026-03-13</t>
        </is>
      </c>
      <c r="B18" s="8" t="inlineStr">
        <is>
          <t>Moto Medi 3rd</t>
        </is>
      </c>
      <c r="C18" s="8" t="n">
        <v>250</v>
      </c>
      <c r="D18" s="8" t="n">
        <v>30</v>
      </c>
      <c r="E18" s="8" t="n">
        <v>50</v>
      </c>
      <c r="F18" s="8" t="n">
        <v>170</v>
      </c>
      <c r="G18" s="8" t="n">
        <v>14</v>
      </c>
    </row>
    <row r="19">
      <c r="A19" s="9" t="inlineStr">
        <is>
          <t>2026-03-09</t>
        </is>
      </c>
      <c r="B19" s="9" t="inlineStr">
        <is>
          <t>Tikka Shack 1</t>
        </is>
      </c>
      <c r="C19" s="9" t="n">
        <v>170</v>
      </c>
      <c r="D19" s="9" t="n">
        <v>21</v>
      </c>
      <c r="E19" s="9" t="n">
        <v>34</v>
      </c>
      <c r="F19" s="9" t="n">
        <v>115</v>
      </c>
      <c r="G19" s="9" t="n">
        <v>9</v>
      </c>
    </row>
    <row r="20">
      <c r="A20" s="8" t="inlineStr">
        <is>
          <t>2026-03-10</t>
        </is>
      </c>
      <c r="B20" s="8" t="inlineStr">
        <is>
          <t>Tikka Shack 1</t>
        </is>
      </c>
      <c r="C20" s="8" t="n">
        <v>190</v>
      </c>
      <c r="D20" s="8" t="n">
        <v>23</v>
      </c>
      <c r="E20" s="8" t="n">
        <v>38</v>
      </c>
      <c r="F20" s="8" t="n">
        <v>129</v>
      </c>
      <c r="G20" s="8" t="n">
        <v>11</v>
      </c>
    </row>
    <row r="21">
      <c r="A21" s="9" t="inlineStr">
        <is>
          <t>2026-03-11</t>
        </is>
      </c>
      <c r="B21" s="9" t="inlineStr">
        <is>
          <t>Tikka Shack 1</t>
        </is>
      </c>
      <c r="C21" s="9" t="n">
        <v>220</v>
      </c>
      <c r="D21" s="9" t="n">
        <v>27</v>
      </c>
      <c r="E21" s="9" t="n">
        <v>44</v>
      </c>
      <c r="F21" s="9" t="n">
        <v>149</v>
      </c>
      <c r="G21" s="9" t="n">
        <v>12</v>
      </c>
    </row>
    <row r="22">
      <c r="A22" s="8" t="inlineStr">
        <is>
          <t>2026-03-12</t>
        </is>
      </c>
      <c r="B22" s="8" t="inlineStr">
        <is>
          <t>Tikka Shack 1</t>
        </is>
      </c>
      <c r="C22" s="8" t="n">
        <v>180</v>
      </c>
      <c r="D22" s="8" t="n">
        <v>22</v>
      </c>
      <c r="E22" s="8" t="n">
        <v>36</v>
      </c>
      <c r="F22" s="8" t="n">
        <v>122</v>
      </c>
      <c r="G22" s="8" t="n">
        <v>10</v>
      </c>
    </row>
    <row r="23">
      <c r="A23" s="9" t="inlineStr">
        <is>
          <t>2026-03-13</t>
        </is>
      </c>
      <c r="B23" s="9" t="inlineStr">
        <is>
          <t>Tikka Shack 1</t>
        </is>
      </c>
      <c r="C23" s="9" t="n">
        <v>240</v>
      </c>
      <c r="D23" s="9" t="n">
        <v>29</v>
      </c>
      <c r="E23" s="9" t="n">
        <v>48</v>
      </c>
      <c r="F23" s="9" t="n">
        <v>163</v>
      </c>
      <c r="G23" s="9" t="n">
        <v>13</v>
      </c>
    </row>
    <row r="24">
      <c r="A24" s="8" t="inlineStr">
        <is>
          <t>2026-03-09</t>
        </is>
      </c>
      <c r="B24" s="8" t="inlineStr">
        <is>
          <t>Tikka Shack 2</t>
        </is>
      </c>
      <c r="C24" s="8" t="n">
        <v>140</v>
      </c>
      <c r="D24" s="8" t="n">
        <v>18</v>
      </c>
      <c r="E24" s="8" t="n">
        <v>28</v>
      </c>
      <c r="F24" s="8" t="n">
        <v>94</v>
      </c>
      <c r="G24" s="8" t="n">
        <v>8</v>
      </c>
    </row>
    <row r="25">
      <c r="A25" s="9" t="inlineStr">
        <is>
          <t>2026-03-10</t>
        </is>
      </c>
      <c r="B25" s="9" t="inlineStr">
        <is>
          <t>Tikka Shack 2</t>
        </is>
      </c>
      <c r="C25" s="9" t="n">
        <v>160</v>
      </c>
      <c r="D25" s="9" t="n">
        <v>20</v>
      </c>
      <c r="E25" s="9" t="n">
        <v>32</v>
      </c>
      <c r="F25" s="9" t="n">
        <v>108</v>
      </c>
      <c r="G25" s="9" t="n">
        <v>9</v>
      </c>
    </row>
    <row r="26">
      <c r="A26" s="8" t="inlineStr">
        <is>
          <t>2026-03-11</t>
        </is>
      </c>
      <c r="B26" s="8" t="inlineStr">
        <is>
          <t>Tikka Shack 2</t>
        </is>
      </c>
      <c r="C26" s="8" t="n">
        <v>190</v>
      </c>
      <c r="D26" s="8" t="n">
        <v>23</v>
      </c>
      <c r="E26" s="8" t="n">
        <v>38</v>
      </c>
      <c r="F26" s="8" t="n">
        <v>129</v>
      </c>
      <c r="G26" s="8" t="n">
        <v>11</v>
      </c>
    </row>
    <row r="27">
      <c r="A27" s="9" t="inlineStr">
        <is>
          <t>2026-03-12</t>
        </is>
      </c>
      <c r="B27" s="9" t="inlineStr">
        <is>
          <t>Tikka Shack 2</t>
        </is>
      </c>
      <c r="C27" s="9" t="n">
        <v>145</v>
      </c>
      <c r="D27" s="9" t="n">
        <v>18</v>
      </c>
      <c r="E27" s="9" t="n">
        <v>29</v>
      </c>
      <c r="F27" s="9" t="n">
        <v>98</v>
      </c>
      <c r="G27" s="9" t="n">
        <v>8</v>
      </c>
    </row>
    <row r="28">
      <c r="A28" s="8" t="inlineStr">
        <is>
          <t>2026-03-13</t>
        </is>
      </c>
      <c r="B28" s="8" t="inlineStr">
        <is>
          <t>Tikka Shack 2</t>
        </is>
      </c>
      <c r="C28" s="8" t="n">
        <v>200</v>
      </c>
      <c r="D28" s="8" t="n">
        <v>24</v>
      </c>
      <c r="E28" s="8" t="n">
        <v>40</v>
      </c>
      <c r="F28" s="8" t="n">
        <v>136</v>
      </c>
      <c r="G28" s="8" t="n">
        <v>11</v>
      </c>
    </row>
    <row r="30">
      <c r="A30" s="10" t="inlineStr">
        <is>
          <t>Last Updated:</t>
        </is>
      </c>
      <c r="B30" s="11" t="inlineStr"/>
    </row>
  </sheetData>
  <mergeCells count="1">
    <mergeCell ref="A1:G1"/>
  </mergeCells>
  <conditionalFormatting sqref="A3">
    <cfRule type="expression" priority="1" dxfId="0" stopIfTrue="0">
      <formula>=A3="OK"</formula>
    </cfRule>
  </conditionalFormatting>
  <conditionalFormatting sqref="B3">
    <cfRule type="expression" priority="2" dxfId="0" stopIfTrue="0">
      <formula>=B3="OK"</formula>
    </cfRule>
  </conditionalFormatting>
  <conditionalFormatting sqref="C3">
    <cfRule type="expression" priority="3" dxfId="0" stopIfTrue="0">
      <formula>=C3="OK"</formula>
    </cfRule>
  </conditionalFormatting>
  <conditionalFormatting sqref="D3">
    <cfRule type="expression" priority="4" dxfId="0" stopIfTrue="0">
      <formula>=D3="OK"</formula>
    </cfRule>
  </conditionalFormatting>
  <conditionalFormatting sqref="E3">
    <cfRule type="expression" priority="5" dxfId="0" stopIfTrue="0">
      <formula>=E3="OK"</formula>
    </cfRule>
  </conditionalFormatting>
  <conditionalFormatting sqref="F3">
    <cfRule type="expression" priority="6" dxfId="0" stopIfTrue="0">
      <formula>=F3="OK"</formula>
    </cfRule>
  </conditionalFormatting>
  <conditionalFormatting sqref="G3">
    <cfRule type="expression" priority="7" dxfId="0" stopIfTrue="0">
      <formula>=G3="OK"</formula>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4A86C8"/>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16" customWidth="1" min="1" max="1"/>
    <col width="18" customWidth="1" min="2" max="2"/>
    <col width="20" customWidth="1" min="3" max="3"/>
    <col width="12" customWidth="1" min="4" max="4"/>
    <col width="12" customWidth="1" min="5" max="5"/>
    <col width="14" customWidth="1" min="6" max="6"/>
    <col width="10" customWidth="1" min="7" max="7"/>
  </cols>
  <sheetData>
    <row r="1" ht="20" customHeight="1">
      <c r="A1" s="4" t="inlineStr">
        <is>
          <t>PLACEHOLDER HEADERS — Update row 2 to match your actual CSV export column names exactly.</t>
        </is>
      </c>
    </row>
    <row r="2">
      <c r="A2" s="5" t="inlineStr">
        <is>
          <t>Invoice Date</t>
        </is>
      </c>
      <c r="B2" s="5" t="inlineStr">
        <is>
          <t>Invoice Number</t>
        </is>
      </c>
      <c r="C2" s="5" t="inlineStr">
        <is>
          <t>Item Description</t>
        </is>
      </c>
      <c r="D2" s="5" t="inlineStr">
        <is>
          <t>Category</t>
        </is>
      </c>
      <c r="E2" s="5" t="inlineStr">
        <is>
          <t>Quantity</t>
        </is>
      </c>
      <c r="F2" s="5" t="inlineStr">
        <is>
          <t>Unit Price</t>
        </is>
      </c>
      <c r="G2" s="5" t="inlineStr">
        <is>
          <t>Total</t>
        </is>
      </c>
    </row>
    <row r="3" ht="22" customHeight="1">
      <c r="A3" s="6" t="inlineStr">
        <is>
          <t>[Invoice Date — text/date]</t>
        </is>
      </c>
      <c r="B3" s="6" t="inlineStr">
        <is>
          <t>[Invoice Number — text/date]</t>
        </is>
      </c>
      <c r="C3" s="6" t="inlineStr">
        <is>
          <t>[Item Description — text/date]</t>
        </is>
      </c>
      <c r="D3" s="6" t="inlineStr">
        <is>
          <t>[Category — text/date]</t>
        </is>
      </c>
      <c r="E3" s="7">
        <f>IF(ISNUMBER(INDEX(BEK-Import!A:Z,4,MATCH("Quantity",BEK-Import!2:2,0))),"OK","PASTE ERROR - Quantity is not a number")</f>
        <v/>
      </c>
      <c r="F3" s="6" t="inlineStr">
        <is>
          <t>[Unit Price — text/date]</t>
        </is>
      </c>
      <c r="G3" s="7">
        <f>IF(ISNUMBER(INDEX(BEK-Import!A:Z,4,MATCH("Total",BEK-Import!2:2,0))),"OK","PASTE ERROR - Total is not a number")</f>
        <v/>
      </c>
    </row>
    <row r="4">
      <c r="A4" s="8" t="inlineStr">
        <is>
          <t>2026-03-10</t>
        </is>
      </c>
      <c r="B4" s="8" t="inlineStr">
        <is>
          <t>INV-2026-0901</t>
        </is>
      </c>
      <c r="C4" s="8" t="inlineStr">
        <is>
          <t>Chicken Thighs 40lb Case</t>
        </is>
      </c>
      <c r="D4" s="8" t="inlineStr">
        <is>
          <t>Food</t>
        </is>
      </c>
      <c r="E4" s="8" t="n">
        <v>2</v>
      </c>
      <c r="F4" s="8" t="n">
        <v>89.5</v>
      </c>
      <c r="G4" s="8" t="n">
        <v>179</v>
      </c>
    </row>
    <row r="5">
      <c r="A5" s="9" t="inlineStr">
        <is>
          <t>2026-03-10</t>
        </is>
      </c>
      <c r="B5" s="9" t="inlineStr">
        <is>
          <t>INV-2026-0901</t>
        </is>
      </c>
      <c r="C5" s="9" t="inlineStr">
        <is>
          <t>Jasmine Rice 50lb Bag</t>
        </is>
      </c>
      <c r="D5" s="9" t="inlineStr">
        <is>
          <t>Food</t>
        </is>
      </c>
      <c r="E5" s="9" t="n">
        <v>3</v>
      </c>
      <c r="F5" s="9" t="n">
        <v>42</v>
      </c>
      <c r="G5" s="9" t="n">
        <v>126</v>
      </c>
    </row>
    <row r="6">
      <c r="A6" s="8" t="inlineStr">
        <is>
          <t>2026-03-10</t>
        </is>
      </c>
      <c r="B6" s="8" t="inlineStr">
        <is>
          <t>INV-2026-0901</t>
        </is>
      </c>
      <c r="C6" s="8" t="inlineStr">
        <is>
          <t>Canola Oil 35lb Jug</t>
        </is>
      </c>
      <c r="D6" s="8" t="inlineStr">
        <is>
          <t>Food</t>
        </is>
      </c>
      <c r="E6" s="8" t="n">
        <v>4</v>
      </c>
      <c r="F6" s="8" t="n">
        <v>38.75</v>
      </c>
      <c r="G6" s="8" t="n">
        <v>155</v>
      </c>
    </row>
    <row r="7">
      <c r="A7" s="9" t="inlineStr">
        <is>
          <t>2026-03-10</t>
        </is>
      </c>
      <c r="B7" s="9" t="inlineStr">
        <is>
          <t>INV-2026-0901</t>
        </is>
      </c>
      <c r="C7" s="9" t="inlineStr">
        <is>
          <t>To-Go Containers 200ct</t>
        </is>
      </c>
      <c r="D7" s="9" t="inlineStr">
        <is>
          <t>Supplies</t>
        </is>
      </c>
      <c r="E7" s="9" t="n">
        <v>5</v>
      </c>
      <c r="F7" s="9" t="n">
        <v>18.5</v>
      </c>
      <c r="G7" s="9" t="n">
        <v>92.5</v>
      </c>
    </row>
    <row r="8">
      <c r="A8" s="8" t="inlineStr">
        <is>
          <t>2026-03-10</t>
        </is>
      </c>
      <c r="B8" s="8" t="inlineStr">
        <is>
          <t>INV-2026-0901</t>
        </is>
      </c>
      <c r="C8" s="8" t="inlineStr">
        <is>
          <t>Napkins 4000ct</t>
        </is>
      </c>
      <c r="D8" s="8" t="inlineStr">
        <is>
          <t>Supplies</t>
        </is>
      </c>
      <c r="E8" s="8" t="n">
        <v>2</v>
      </c>
      <c r="F8" s="8" t="n">
        <v>22</v>
      </c>
      <c r="G8" s="8" t="n">
        <v>44</v>
      </c>
    </row>
    <row r="9">
      <c r="A9" s="9" t="inlineStr">
        <is>
          <t>2026-03-10</t>
        </is>
      </c>
      <c r="B9" s="9" t="inlineStr">
        <is>
          <t>INV-2026-0902</t>
        </is>
      </c>
      <c r="C9" s="9" t="inlineStr">
        <is>
          <t>Ground Beef 80/20 40lb</t>
        </is>
      </c>
      <c r="D9" s="9" t="inlineStr">
        <is>
          <t>Food</t>
        </is>
      </c>
      <c r="E9" s="9" t="n">
        <v>3</v>
      </c>
      <c r="F9" s="9" t="n">
        <v>92</v>
      </c>
      <c r="G9" s="9" t="n">
        <v>276</v>
      </c>
    </row>
    <row r="10">
      <c r="A10" s="8" t="inlineStr">
        <is>
          <t>2026-03-10</t>
        </is>
      </c>
      <c r="B10" s="8" t="inlineStr">
        <is>
          <t>INV-2026-0902</t>
        </is>
      </c>
      <c r="C10" s="8" t="inlineStr">
        <is>
          <t>Paneer 10lb</t>
        </is>
      </c>
      <c r="D10" s="8" t="inlineStr">
        <is>
          <t>Food</t>
        </is>
      </c>
      <c r="E10" s="8" t="n">
        <v>4</v>
      </c>
      <c r="F10" s="8" t="n">
        <v>28.5</v>
      </c>
      <c r="G10" s="8" t="n">
        <v>114</v>
      </c>
    </row>
    <row r="11">
      <c r="A11" s="9" t="inlineStr">
        <is>
          <t>2026-03-10</t>
        </is>
      </c>
      <c r="B11" s="9" t="inlineStr">
        <is>
          <t>INV-2026-0902</t>
        </is>
      </c>
      <c r="C11" s="9" t="inlineStr">
        <is>
          <t>Spice Blend — Tikka Masala</t>
        </is>
      </c>
      <c r="D11" s="9" t="inlineStr">
        <is>
          <t>Food</t>
        </is>
      </c>
      <c r="E11" s="9" t="n">
        <v>6</v>
      </c>
      <c r="F11" s="9" t="n">
        <v>14</v>
      </c>
      <c r="G11" s="9" t="n">
        <v>84</v>
      </c>
    </row>
    <row r="12">
      <c r="A12" s="8" t="inlineStr">
        <is>
          <t>2026-03-10</t>
        </is>
      </c>
      <c r="B12" s="8" t="inlineStr">
        <is>
          <t>INV-2026-0902</t>
        </is>
      </c>
      <c r="C12" s="8" t="inlineStr">
        <is>
          <t>Gloves Medium 100ct Box</t>
        </is>
      </c>
      <c r="D12" s="8" t="inlineStr">
        <is>
          <t>Supplies</t>
        </is>
      </c>
      <c r="E12" s="8" t="n">
        <v>8</v>
      </c>
      <c r="F12" s="8" t="n">
        <v>9.75</v>
      </c>
      <c r="G12" s="8" t="n">
        <v>78</v>
      </c>
    </row>
    <row r="13">
      <c r="A13" s="9" t="inlineStr">
        <is>
          <t>2026-03-10</t>
        </is>
      </c>
      <c r="B13" s="9" t="inlineStr">
        <is>
          <t>INV-2026-0902</t>
        </is>
      </c>
      <c r="C13" s="9" t="inlineStr">
        <is>
          <t>Cleaning Supplies Bundle</t>
        </is>
      </c>
      <c r="D13" s="9" t="inlineStr">
        <is>
          <t>Supplies</t>
        </is>
      </c>
      <c r="E13" s="9" t="n">
        <v>3</v>
      </c>
      <c r="F13" s="9" t="n">
        <v>31</v>
      </c>
      <c r="G13" s="9" t="n">
        <v>93</v>
      </c>
    </row>
    <row r="14">
      <c r="A14" s="8" t="inlineStr">
        <is>
          <t>2026-03-13</t>
        </is>
      </c>
      <c r="B14" s="8" t="inlineStr">
        <is>
          <t>INV-2026-0944</t>
        </is>
      </c>
      <c r="C14" s="8" t="inlineStr">
        <is>
          <t>Chicken Thighs 40lb Case</t>
        </is>
      </c>
      <c r="D14" s="8" t="inlineStr">
        <is>
          <t>Food</t>
        </is>
      </c>
      <c r="E14" s="8" t="n">
        <v>3</v>
      </c>
      <c r="F14" s="8" t="n">
        <v>89.5</v>
      </c>
      <c r="G14" s="8" t="n">
        <v>268.5</v>
      </c>
    </row>
    <row r="15">
      <c r="A15" s="9" t="inlineStr">
        <is>
          <t>2026-03-13</t>
        </is>
      </c>
      <c r="B15" s="9" t="inlineStr">
        <is>
          <t>INV-2026-0944</t>
        </is>
      </c>
      <c r="C15" s="9" t="inlineStr">
        <is>
          <t>Flatbread Dough 12pk</t>
        </is>
      </c>
      <c r="D15" s="9" t="inlineStr">
        <is>
          <t>Food</t>
        </is>
      </c>
      <c r="E15" s="9" t="n">
        <v>6</v>
      </c>
      <c r="F15" s="9" t="n">
        <v>19</v>
      </c>
      <c r="G15" s="9" t="n">
        <v>114</v>
      </c>
    </row>
    <row r="16">
      <c r="A16" s="8" t="inlineStr">
        <is>
          <t>2026-03-13</t>
        </is>
      </c>
      <c r="B16" s="8" t="inlineStr">
        <is>
          <t>INV-2026-0944</t>
        </is>
      </c>
      <c r="C16" s="8" t="inlineStr">
        <is>
          <t>Lentils 25lb Bag</t>
        </is>
      </c>
      <c r="D16" s="8" t="inlineStr">
        <is>
          <t>Food</t>
        </is>
      </c>
      <c r="E16" s="8" t="n">
        <v>2</v>
      </c>
      <c r="F16" s="8" t="n">
        <v>31</v>
      </c>
      <c r="G16" s="8" t="n">
        <v>62</v>
      </c>
    </row>
    <row r="17">
      <c r="A17" s="9" t="inlineStr">
        <is>
          <t>2026-03-13</t>
        </is>
      </c>
      <c r="B17" s="9" t="inlineStr">
        <is>
          <t>INV-2026-0944</t>
        </is>
      </c>
      <c r="C17" s="9" t="inlineStr">
        <is>
          <t>Sauces — Proprietary Blend</t>
        </is>
      </c>
      <c r="D17" s="9" t="inlineStr">
        <is>
          <t>Food</t>
        </is>
      </c>
      <c r="E17" s="9" t="n">
        <v>4</v>
      </c>
      <c r="F17" s="9" t="n">
        <v>24</v>
      </c>
      <c r="G17" s="9" t="n">
        <v>96</v>
      </c>
    </row>
    <row r="18">
      <c r="A18" s="8" t="inlineStr">
        <is>
          <t>2026-03-13</t>
        </is>
      </c>
      <c r="B18" s="8" t="inlineStr">
        <is>
          <t>INV-2026-0944</t>
        </is>
      </c>
      <c r="C18" s="8" t="inlineStr">
        <is>
          <t>Kraft Paper Roll 300ft</t>
        </is>
      </c>
      <c r="D18" s="8" t="inlineStr">
        <is>
          <t>Supplies</t>
        </is>
      </c>
      <c r="E18" s="8" t="n">
        <v>2</v>
      </c>
      <c r="F18" s="8" t="n">
        <v>27.5</v>
      </c>
      <c r="G18" s="8" t="n">
        <v>55</v>
      </c>
    </row>
    <row r="20">
      <c r="A20" s="10" t="inlineStr">
        <is>
          <t>Last Updated:</t>
        </is>
      </c>
      <c r="B20" s="11" t="inlineStr"/>
    </row>
  </sheetData>
  <mergeCells count="1">
    <mergeCell ref="A1:G1"/>
  </mergeCells>
  <conditionalFormatting sqref="A3">
    <cfRule type="expression" priority="1" dxfId="0" stopIfTrue="0">
      <formula>=A3="OK"</formula>
    </cfRule>
  </conditionalFormatting>
  <conditionalFormatting sqref="B3">
    <cfRule type="expression" priority="2" dxfId="0" stopIfTrue="0">
      <formula>=B3="OK"</formula>
    </cfRule>
  </conditionalFormatting>
  <conditionalFormatting sqref="C3">
    <cfRule type="expression" priority="3" dxfId="0" stopIfTrue="0">
      <formula>=C3="OK"</formula>
    </cfRule>
  </conditionalFormatting>
  <conditionalFormatting sqref="D3">
    <cfRule type="expression" priority="4" dxfId="0" stopIfTrue="0">
      <formula>=D3="OK"</formula>
    </cfRule>
  </conditionalFormatting>
  <conditionalFormatting sqref="E3">
    <cfRule type="expression" priority="5" dxfId="0" stopIfTrue="0">
      <formula>=E3="OK"</formula>
    </cfRule>
  </conditionalFormatting>
  <conditionalFormatting sqref="F3">
    <cfRule type="expression" priority="6" dxfId="0" stopIfTrue="0">
      <formula>=F3="OK"</formula>
    </cfRule>
  </conditionalFormatting>
  <conditionalFormatting sqref="G3">
    <cfRule type="expression" priority="7" dxfId="0" stopIfTrue="0">
      <formula>=G3="OK"</formula>
    </cfRule>
  </conditionalFormatting>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6AA84F"/>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4" customWidth="1" min="3" max="3"/>
    <col width="17" customWidth="1" min="4" max="4"/>
    <col width="15" customWidth="1" min="5" max="5"/>
    <col width="14" customWidth="1" min="6" max="6"/>
    <col width="11" customWidth="1" min="7" max="7"/>
    <col width="25" customWidth="1" min="8" max="8"/>
    <col width="20" customWidth="1" min="9" max="9"/>
    <col width="26" customWidth="1" min="10" max="10"/>
    <col width="22" customWidth="1" min="11" max="11"/>
  </cols>
  <sheetData>
    <row r="1">
      <c r="A1" s="12" t="inlineStr">
        <is>
          <t>Employee Name</t>
        </is>
      </c>
      <c r="B1" s="12" t="inlineStr">
        <is>
          <t>Square Name</t>
        </is>
      </c>
      <c r="C1" s="12" t="inlineStr">
        <is>
          <t>Location</t>
        </is>
      </c>
      <c r="D1" s="12" t="inlineStr">
        <is>
          <t>Hourly Rate</t>
        </is>
      </c>
      <c r="E1" s="12" t="inlineStr">
        <is>
          <t>Hire Date</t>
        </is>
      </c>
      <c r="F1" s="12" t="inlineStr">
        <is>
          <t>Pay Tier</t>
        </is>
      </c>
      <c r="G1" s="12" t="inlineStr">
        <is>
          <t>Notes</t>
        </is>
      </c>
      <c r="H1" s="12" t="inlineStr">
        <is>
          <t>Next Milestone Date</t>
        </is>
      </c>
      <c r="I1" s="12" t="inlineStr">
        <is>
          <t>Milestone Type</t>
        </is>
      </c>
      <c r="J1" s="12" t="inlineStr">
        <is>
          <t>Days Until Milestone</t>
        </is>
      </c>
      <c r="K1" s="12" t="inlineStr">
        <is>
          <t>Milestone Status</t>
        </is>
      </c>
    </row>
    <row r="2">
      <c r="A2" s="8" t="inlineStr">
        <is>
          <t>Marcus Johnson</t>
        </is>
      </c>
      <c r="B2" s="8" t="inlineStr">
        <is>
          <t>Marcus Johnson</t>
        </is>
      </c>
      <c r="C2" s="8" t="inlineStr">
        <is>
          <t>MML</t>
        </is>
      </c>
      <c r="D2" s="13" t="n">
        <v>16.5</v>
      </c>
      <c r="E2" s="14" t="inlineStr">
        <is>
          <t>2024-06-01</t>
        </is>
      </c>
      <c r="F2" s="8" t="inlineStr">
        <is>
          <t>Line Cook</t>
        </is>
      </c>
      <c r="G2" s="8" t="inlineStr">
        <is>
          <t>Lead cook — Lubbock</t>
        </is>
      </c>
      <c r="H2" s="14" t="inlineStr">
        <is>
          <t>2026-04-01</t>
        </is>
      </c>
      <c r="I2" s="8" t="inlineStr">
        <is>
          <t>90-Day Review</t>
        </is>
      </c>
      <c r="J2" s="15">
        <f>IFERROR(H2-TODAY(),"")</f>
        <v/>
      </c>
      <c r="K2" s="16">
        <f>IF(J2="","",IF(J2&lt;=0,"OVERDUE",IF(J2&lt;=30,"SOON","OK")))</f>
        <v/>
      </c>
    </row>
    <row r="3">
      <c r="A3" s="9" t="inlineStr">
        <is>
          <t>Ashley Torres</t>
        </is>
      </c>
      <c r="B3" s="9" t="inlineStr">
        <is>
          <t>Ashley Torres</t>
        </is>
      </c>
      <c r="C3" s="9" t="inlineStr">
        <is>
          <t>MML</t>
        </is>
      </c>
      <c r="D3" s="17" t="n">
        <v>14</v>
      </c>
      <c r="E3" s="18" t="inlineStr">
        <is>
          <t>2024-09-15</t>
        </is>
      </c>
      <c r="F3" s="9" t="inlineStr">
        <is>
          <t>Cashier</t>
        </is>
      </c>
      <c r="G3" s="9" t="inlineStr">
        <is>
          <t>Cross-trained on prep</t>
        </is>
      </c>
      <c r="H3" s="18" t="inlineStr"/>
      <c r="I3" s="9" t="inlineStr"/>
      <c r="J3" s="19">
        <f>IFERROR(H3-TODAY(),"")</f>
        <v/>
      </c>
      <c r="K3" s="20">
        <f>IF(J3="","",IF(J3&lt;=0,"OVERDUE",IF(J3&lt;=30,"SOON","OK")))</f>
        <v/>
      </c>
    </row>
    <row r="4">
      <c r="A4" s="8" t="inlineStr">
        <is>
          <t>Destiny Williams</t>
        </is>
      </c>
      <c r="B4" s="8" t="inlineStr">
        <is>
          <t>Destiny Williams</t>
        </is>
      </c>
      <c r="C4" s="8" t="inlineStr">
        <is>
          <t>MMA</t>
        </is>
      </c>
      <c r="D4" s="13" t="n">
        <v>14.5</v>
      </c>
      <c r="E4" s="14" t="inlineStr">
        <is>
          <t>2025-01-10</t>
        </is>
      </c>
      <c r="F4" s="8" t="inlineStr">
        <is>
          <t>Cashier</t>
        </is>
      </c>
      <c r="G4" s="8" t="inlineStr"/>
      <c r="H4" s="14" t="inlineStr">
        <is>
          <t>2026-06-01</t>
        </is>
      </c>
      <c r="I4" s="8" t="inlineStr">
        <is>
          <t>6-Month Check-In</t>
        </is>
      </c>
      <c r="J4" s="15">
        <f>IFERROR(H4-TODAY(),"")</f>
        <v/>
      </c>
      <c r="K4" s="16">
        <f>IF(J4="","",IF(J4&lt;=0,"OVERDUE",IF(J4&lt;=30,"SOON","OK")))</f>
        <v/>
      </c>
    </row>
    <row r="5">
      <c r="A5" s="9" t="inlineStr">
        <is>
          <t>Robert Kim</t>
        </is>
      </c>
      <c r="B5" s="9" t="inlineStr">
        <is>
          <t>Robert Kim</t>
        </is>
      </c>
      <c r="C5" s="9" t="inlineStr">
        <is>
          <t>MMA</t>
        </is>
      </c>
      <c r="D5" s="17" t="n">
        <v>15.75</v>
      </c>
      <c r="E5" s="18" t="inlineStr">
        <is>
          <t>2024-08-20</t>
        </is>
      </c>
      <c r="F5" s="9" t="inlineStr">
        <is>
          <t>Line Cook</t>
        </is>
      </c>
      <c r="G5" s="9" t="inlineStr"/>
      <c r="H5" s="18" t="inlineStr">
        <is>
          <t>2026-08-20</t>
        </is>
      </c>
      <c r="I5" s="9" t="inlineStr">
        <is>
          <t>Annual Review</t>
        </is>
      </c>
      <c r="J5" s="19">
        <f>IFERROR(H5-TODAY(),"")</f>
        <v/>
      </c>
      <c r="K5" s="20">
        <f>IF(J5="","",IF(J5&lt;=0,"OVERDUE",IF(J5&lt;=30,"SOON","OK")))</f>
        <v/>
      </c>
    </row>
    <row r="6">
      <c r="A6" s="8" t="inlineStr">
        <is>
          <t>Jake Hernandez</t>
        </is>
      </c>
      <c r="B6" s="8" t="inlineStr">
        <is>
          <t>Jake Hernandez</t>
        </is>
      </c>
      <c r="C6" s="8" t="inlineStr">
        <is>
          <t>MM3</t>
        </is>
      </c>
      <c r="D6" s="13" t="n">
        <v>15</v>
      </c>
      <c r="E6" s="14" t="inlineStr">
        <is>
          <t>2025-03-01</t>
        </is>
      </c>
      <c r="F6" s="8" t="inlineStr">
        <is>
          <t>Line Cook</t>
        </is>
      </c>
      <c r="G6" s="8" t="inlineStr">
        <is>
          <t>Newer location</t>
        </is>
      </c>
      <c r="H6" s="14" t="inlineStr">
        <is>
          <t>2026-03-10</t>
        </is>
      </c>
      <c r="I6" s="8" t="inlineStr">
        <is>
          <t>Food Handler Cert</t>
        </is>
      </c>
      <c r="J6" s="15">
        <f>IFERROR(H6-TODAY(),"")</f>
        <v/>
      </c>
      <c r="K6" s="16">
        <f>IF(J6="","",IF(J6&lt;=0,"OVERDUE",IF(J6&lt;=30,"SOON","OK")))</f>
        <v/>
      </c>
    </row>
    <row r="7">
      <c r="A7" s="9" t="inlineStr">
        <is>
          <t>Priya Patel</t>
        </is>
      </c>
      <c r="B7" s="9" t="inlineStr">
        <is>
          <t>Priya Patel</t>
        </is>
      </c>
      <c r="C7" s="9" t="inlineStr">
        <is>
          <t>TS1</t>
        </is>
      </c>
      <c r="D7" s="17" t="n">
        <v>16</v>
      </c>
      <c r="E7" s="18" t="inlineStr">
        <is>
          <t>2024-07-14</t>
        </is>
      </c>
      <c r="F7" s="9" t="inlineStr">
        <is>
          <t>Line Cook</t>
        </is>
      </c>
      <c r="G7" s="9" t="inlineStr">
        <is>
          <t>Tikka Shack specialist</t>
        </is>
      </c>
      <c r="H7" s="18" t="inlineStr">
        <is>
          <t>2026-07-14</t>
        </is>
      </c>
      <c r="I7" s="9" t="inlineStr">
        <is>
          <t>Annual Review</t>
        </is>
      </c>
      <c r="J7" s="19">
        <f>IFERROR(H7-TODAY(),"")</f>
        <v/>
      </c>
      <c r="K7" s="20">
        <f>IF(J7="","",IF(J7&lt;=0,"OVERDUE",IF(J7&lt;=30,"SOON","OK")))</f>
        <v/>
      </c>
    </row>
    <row r="8">
      <c r="A8" s="8" t="inlineStr">
        <is>
          <t>Carlos Rivera</t>
        </is>
      </c>
      <c r="B8" s="8" t="inlineStr">
        <is>
          <t>Carlos Rivera</t>
        </is>
      </c>
      <c r="C8" s="8" t="inlineStr">
        <is>
          <t>TS1</t>
        </is>
      </c>
      <c r="D8" s="13" t="n">
        <v>13.5</v>
      </c>
      <c r="E8" s="14" t="inlineStr">
        <is>
          <t>2025-02-01</t>
        </is>
      </c>
      <c r="F8" s="8" t="inlineStr">
        <is>
          <t>Cashier</t>
        </is>
      </c>
      <c r="G8" s="8" t="inlineStr"/>
      <c r="H8" s="14" t="inlineStr">
        <is>
          <t>2026-05-01</t>
        </is>
      </c>
      <c r="I8" s="8" t="inlineStr">
        <is>
          <t>90-Day Pay Review</t>
        </is>
      </c>
      <c r="J8" s="15">
        <f>IFERROR(H8-TODAY(),"")</f>
        <v/>
      </c>
      <c r="K8" s="16">
        <f>IF(J8="","",IF(J8&lt;=0,"OVERDUE",IF(J8&lt;=30,"SOON","OK")))</f>
        <v/>
      </c>
    </row>
    <row r="9">
      <c r="A9" s="9" t="inlineStr">
        <is>
          <t>Keisha Brown</t>
        </is>
      </c>
      <c r="B9" s="9" t="inlineStr">
        <is>
          <t>Keisha Brown</t>
        </is>
      </c>
      <c r="C9" s="9" t="inlineStr">
        <is>
          <t>TS2</t>
        </is>
      </c>
      <c r="D9" s="17" t="n">
        <v>14.25</v>
      </c>
      <c r="E9" s="18" t="inlineStr">
        <is>
          <t>2024-11-05</t>
        </is>
      </c>
      <c r="F9" s="9" t="inlineStr">
        <is>
          <t>Line Cook</t>
        </is>
      </c>
      <c r="G9" s="9" t="inlineStr"/>
      <c r="H9" s="18" t="inlineStr">
        <is>
          <t>2026-11-05</t>
        </is>
      </c>
      <c r="I9" s="9" t="inlineStr">
        <is>
          <t>Annual Review</t>
        </is>
      </c>
      <c r="J9" s="19">
        <f>IFERROR(H9-TODAY(),"")</f>
        <v/>
      </c>
      <c r="K9" s="20">
        <f>IF(J9="","",IF(J9&lt;=0,"OVERDUE",IF(J9&lt;=30,"SOON","OK")))</f>
        <v/>
      </c>
    </row>
    <row r="10">
      <c r="A10" s="8" t="inlineStr">
        <is>
          <t>Devon Scott</t>
        </is>
      </c>
      <c r="B10" s="8" t="inlineStr">
        <is>
          <t>Devon Scott</t>
        </is>
      </c>
      <c r="C10" s="8" t="inlineStr">
        <is>
          <t>MML</t>
        </is>
      </c>
      <c r="D10" s="13" t="n">
        <v>12.5</v>
      </c>
      <c r="E10" s="14" t="inlineStr">
        <is>
          <t>2025-10-20</t>
        </is>
      </c>
      <c r="F10" s="8" t="inlineStr">
        <is>
          <t>Kitchen Help</t>
        </is>
      </c>
      <c r="G10" s="8" t="inlineStr">
        <is>
          <t>Part-time</t>
        </is>
      </c>
      <c r="H10" s="14" t="inlineStr"/>
      <c r="I10" s="8" t="inlineStr"/>
      <c r="J10" s="15">
        <f>IFERROR(H10-TODAY(),"")</f>
        <v/>
      </c>
      <c r="K10" s="16">
        <f>IF(J10="","",IF(J10&lt;=0,"OVERDUE",IF(J10&lt;=30,"SOON","OK")))</f>
        <v/>
      </c>
    </row>
    <row r="11">
      <c r="A11" s="9" t="inlineStr">
        <is>
          <t>Jasmine Lee</t>
        </is>
      </c>
      <c r="B11" s="9" t="inlineStr">
        <is>
          <t>Jasmine Lee</t>
        </is>
      </c>
      <c r="C11" s="9" t="inlineStr">
        <is>
          <t>TS2</t>
        </is>
      </c>
      <c r="D11" s="17" t="n">
        <v>13</v>
      </c>
      <c r="E11" s="18" t="inlineStr">
        <is>
          <t>2025-11-01</t>
        </is>
      </c>
      <c r="F11" s="9" t="inlineStr">
        <is>
          <t>Cashier</t>
        </is>
      </c>
      <c r="G11" s="9" t="inlineStr">
        <is>
          <t>Part-time</t>
        </is>
      </c>
      <c r="H11" s="18" t="inlineStr"/>
      <c r="I11" s="9" t="inlineStr"/>
      <c r="J11" s="19">
        <f>IFERROR(H11-TODAY(),"")</f>
        <v/>
      </c>
      <c r="K11" s="20">
        <f>IF(J11="","",IF(J11&lt;=0,"OVERDUE",IF(J11&lt;=30,"SOON","OK")))</f>
        <v/>
      </c>
    </row>
    <row r="13" ht="52" customHeight="1">
      <c r="A13" s="21" t="inlineStr">
        <is>
          <t>NOTE: 'Square Name' must match the employee name exactly as it appears in Square's clock-in export. This is the VLOOKUP key for labor cost calculations. Nicknames, capitalization, and spacing must match. Milestone columns H-K: enter Next Milestone Date (col H) and Milestone Type (col I) manually; Days Until Milestone (col J) and Status (col K) update automatically via formula.</t>
        </is>
      </c>
    </row>
  </sheetData>
  <mergeCells count="1">
    <mergeCell ref="A13:K13"/>
  </mergeCells>
  <conditionalFormatting sqref="J2:J100">
    <cfRule type="expression" priority="1" dxfId="1" stopIfTrue="1">
      <formula>AND(J2&lt;&gt;"",J2&lt;=0)</formula>
    </cfRule>
    <cfRule type="expression" priority="2" dxfId="2" stopIfTrue="0">
      <formula>AND(J2&gt;0,J2&lt;=30)</formula>
    </cfRule>
  </conditionalFormatting>
  <dataValidations count="1">
    <dataValidation sqref="C2 C3 C4 C5 C6 C7 C8 C9 C10 C11" showDropDown="0" showInputMessage="0" showErrorMessage="1" allowBlank="1" errorTitle="Invalid Location" error="Please select one of: MML,MMA,MM3,TS1,TS2" type="list">
      <formula1>"MML,MMA,MM3,TS1,TS2"</formula1>
    </dataValidation>
  </dataValidations>
  <pageMargins left="0.75" right="0.75" top="1" bottom="1" header="0.5" footer="0.5"/>
</worksheet>
</file>

<file path=xl/worksheets/sheet8.xml><?xml version="1.0" encoding="utf-8"?>
<worksheet xmlns="http://schemas.openxmlformats.org/spreadsheetml/2006/main">
  <sheetPr>
    <tabColor rgb="00F4A442"/>
    <outlinePr summaryBelow="1" summaryRight="1"/>
    <pageSetUpPr/>
  </sheetPr>
  <dimension ref="A1:Z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9" customWidth="1" min="2" max="2"/>
    <col width="23" customWidth="1" min="3" max="3"/>
    <col width="20" customWidth="1" min="4" max="4"/>
    <col width="14" customWidth="1" min="5" max="5"/>
    <col width="18" customWidth="1" min="6" max="6"/>
    <col width="19" customWidth="1" min="7" max="7"/>
    <col width="23" customWidth="1" min="8" max="8"/>
    <col width="20" customWidth="1" min="9" max="9"/>
    <col width="14" customWidth="1" min="10" max="10"/>
    <col width="18" customWidth="1" min="11" max="11"/>
    <col width="19" customWidth="1" min="12" max="12"/>
    <col width="23" customWidth="1" min="13" max="13"/>
    <col width="20" customWidth="1" min="14" max="14"/>
    <col width="14" customWidth="1" min="15" max="15"/>
    <col width="18" customWidth="1" min="16" max="16"/>
    <col width="19" customWidth="1" min="17" max="17"/>
    <col width="23" customWidth="1" min="18" max="18"/>
    <col width="20" customWidth="1" min="19" max="19"/>
    <col width="14" customWidth="1" min="20" max="20"/>
    <col width="18" customWidth="1" min="21" max="21"/>
    <col width="19" customWidth="1" min="22" max="22"/>
    <col width="23" customWidth="1" min="23" max="23"/>
    <col width="20" customWidth="1" min="24" max="24"/>
    <col width="14" customWidth="1" min="25" max="25"/>
    <col width="18" customWidth="1" min="26" max="26"/>
  </cols>
  <sheetData>
    <row r="1" ht="30" customHeight="1">
      <c r="A1" s="12" t="inlineStr">
        <is>
          <t>Week Ending</t>
        </is>
      </c>
      <c r="B1" s="12" t="inlineStr">
        <is>
          <t>MML Net Revenue</t>
        </is>
      </c>
      <c r="C1" s="12" t="inlineStr">
        <is>
          <t>MML Purchase Cost %</t>
        </is>
      </c>
      <c r="D1" s="12" t="inlineStr">
        <is>
          <t>MML Labor Cost %</t>
        </is>
      </c>
      <c r="E1" s="12" t="inlineStr">
        <is>
          <t>MML Orders</t>
        </is>
      </c>
      <c r="F1" s="12" t="inlineStr">
        <is>
          <t>MML Avg Ticket</t>
        </is>
      </c>
      <c r="G1" s="12" t="inlineStr">
        <is>
          <t>MMA Net Revenue</t>
        </is>
      </c>
      <c r="H1" s="12" t="inlineStr">
        <is>
          <t>MMA Purchase Cost %</t>
        </is>
      </c>
      <c r="I1" s="12" t="inlineStr">
        <is>
          <t>MMA Labor Cost %</t>
        </is>
      </c>
      <c r="J1" s="12" t="inlineStr">
        <is>
          <t>MMA Orders</t>
        </is>
      </c>
      <c r="K1" s="12" t="inlineStr">
        <is>
          <t>MMA Avg Ticket</t>
        </is>
      </c>
      <c r="L1" s="12" t="inlineStr">
        <is>
          <t>MM3 Net Revenue</t>
        </is>
      </c>
      <c r="M1" s="12" t="inlineStr">
        <is>
          <t>MM3 Purchase Cost %</t>
        </is>
      </c>
      <c r="N1" s="12" t="inlineStr">
        <is>
          <t>MM3 Labor Cost %</t>
        </is>
      </c>
      <c r="O1" s="12" t="inlineStr">
        <is>
          <t>MM3 Orders</t>
        </is>
      </c>
      <c r="P1" s="12" t="inlineStr">
        <is>
          <t>MM3 Avg Ticket</t>
        </is>
      </c>
      <c r="Q1" s="12" t="inlineStr">
        <is>
          <t>TS1 Net Revenue</t>
        </is>
      </c>
      <c r="R1" s="12" t="inlineStr">
        <is>
          <t>TS1 Purchase Cost %</t>
        </is>
      </c>
      <c r="S1" s="12" t="inlineStr">
        <is>
          <t>TS1 Labor Cost %</t>
        </is>
      </c>
      <c r="T1" s="12" t="inlineStr">
        <is>
          <t>TS1 Orders</t>
        </is>
      </c>
      <c r="U1" s="12" t="inlineStr">
        <is>
          <t>TS1 Avg Ticket</t>
        </is>
      </c>
      <c r="V1" s="12" t="inlineStr">
        <is>
          <t>TS2 Net Revenue</t>
        </is>
      </c>
      <c r="W1" s="12" t="inlineStr">
        <is>
          <t>TS2 Purchase Cost %</t>
        </is>
      </c>
      <c r="X1" s="12" t="inlineStr">
        <is>
          <t>TS2 Labor Cost %</t>
        </is>
      </c>
      <c r="Y1" s="12" t="inlineStr">
        <is>
          <t>TS2 Orders</t>
        </is>
      </c>
      <c r="Z1" s="12" t="inlineStr">
        <is>
          <t>TS2 Avg Ticket</t>
        </is>
      </c>
    </row>
    <row r="2">
      <c r="A2" s="22" t="inlineStr">
        <is>
          <t>2026-03-09</t>
        </is>
      </c>
      <c r="B2" s="23" t="n">
        <v>12050</v>
      </c>
      <c r="C2" s="24" t="n">
        <v>0.284</v>
      </c>
      <c r="D2" s="24" t="n">
        <v>0.312</v>
      </c>
      <c r="E2" s="16" t="n">
        <v>387</v>
      </c>
      <c r="F2" s="16" t="n">
        <v>19.1</v>
      </c>
      <c r="G2" s="23" t="n">
        <v>9820</v>
      </c>
      <c r="H2" s="24" t="n">
        <v>0.301</v>
      </c>
      <c r="I2" s="24" t="n">
        <v>0.298</v>
      </c>
      <c r="J2" s="16" t="n">
        <v>321</v>
      </c>
      <c r="K2" s="16" t="n">
        <v>18.85</v>
      </c>
      <c r="L2" s="23" t="n">
        <v>7640</v>
      </c>
      <c r="M2" s="24" t="n">
        <v>0.318</v>
      </c>
      <c r="N2" s="24" t="n">
        <v>0.305</v>
      </c>
      <c r="O2" s="16" t="n">
        <v>258</v>
      </c>
      <c r="P2" s="16" t="n">
        <v>18.92</v>
      </c>
      <c r="Q2" s="23" t="n">
        <v>6510</v>
      </c>
      <c r="R2" s="24" t="n">
        <v>0.312</v>
      </c>
      <c r="S2" s="24" t="n">
        <v>0.321</v>
      </c>
      <c r="T2" s="16" t="n">
        <v>215</v>
      </c>
      <c r="U2" s="16" t="n">
        <v>18.65</v>
      </c>
      <c r="V2" s="23" t="n">
        <v>5890</v>
      </c>
      <c r="W2" s="24" t="n">
        <v>0.296</v>
      </c>
      <c r="X2" s="24" t="n">
        <v>0.334</v>
      </c>
      <c r="Y2" s="16" t="n">
        <v>182</v>
      </c>
      <c r="Z2" s="16" t="n">
        <v>18.88</v>
      </c>
    </row>
    <row r="3">
      <c r="A3" s="25" t="inlineStr">
        <is>
          <t>2026-03-16</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999999"/>
    <outlinePr summaryBelow="1" summaryRight="1"/>
    <pageSetUpPr/>
  </sheetPr>
  <dimension ref="A1:E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6" customWidth="1" min="3" max="3"/>
    <col width="16" customWidth="1" min="4" max="4"/>
    <col width="12" customWidth="1" min="5" max="5"/>
  </cols>
  <sheetData>
    <row r="1" ht="28" customHeight="1">
      <c r="A1" s="26" t="inlineStr">
        <is>
          <t>Moto Medi Lubbock</t>
        </is>
      </c>
    </row>
    <row r="2">
      <c r="A2" s="27" t="inlineStr">
        <is>
          <t>Week Ending:</t>
        </is>
      </c>
      <c r="B2" s="11">
        <f>'Summary'!B2</f>
        <v/>
      </c>
    </row>
    <row r="3">
      <c r="B3" s="12" t="inlineStr">
        <is>
          <t>This Week</t>
        </is>
      </c>
      <c r="C3" s="12" t="inlineStr">
        <is>
          <t>Prior Week</t>
        </is>
      </c>
      <c r="D3" s="12" t="inlineStr">
        <is>
          <t>WoW Change</t>
        </is>
      </c>
      <c r="E3" s="12" t="inlineStr">
        <is>
          <t>WoW %</t>
        </is>
      </c>
    </row>
    <row r="4">
      <c r="A4" s="28" t="inlineStr">
        <is>
          <t>Revenue Breakdown</t>
        </is>
      </c>
    </row>
    <row r="5">
      <c r="A5" s="29" t="inlineStr">
        <is>
          <t>Square Net Sales</t>
        </is>
      </c>
      <c r="B5" s="30">
        <f>IFERROR(SUMIFS(INDEX('Square-Import'!A:Z,0,MATCH("Net Sales",'Square-Import'!1:1,0)),INDEX('Square-Import'!A:Z,0,MATCH("Location",'Square-Import'!1:1,0)),"Moto Medi Lubbock"),0)</f>
        <v/>
      </c>
      <c r="C5" s="30" t="n">
        <v>0</v>
      </c>
      <c r="D5" s="30">
        <f>B5-C5</f>
        <v/>
      </c>
      <c r="E5" s="31">
        <f>IF(C5&gt;0,(B5-C5)/C5,0)</f>
        <v/>
      </c>
    </row>
    <row r="6">
      <c r="A6" s="29" t="inlineStr">
        <is>
          <t>DoorDash Net Revenue</t>
        </is>
      </c>
      <c r="B6" s="30">
        <f>IFERROR(SUMIFS(INDEX('DoorDash-Import'!A:Z,0,MATCH("Net Payout",'DoorDash-Import'!1:1,0)),INDEX('DoorDash-Import'!A:Z,0,MATCH("Store Name",'DoorDash-Import'!1:1,0)),"Moto Medi Lubbock"),0)</f>
        <v/>
      </c>
      <c r="C6" s="30" t="n">
        <v>0</v>
      </c>
      <c r="D6" s="30">
        <f>B6-C6</f>
        <v/>
      </c>
      <c r="E6" s="31">
        <f>IF(C6&gt;0,(B6-C6)/C6,0)</f>
        <v/>
      </c>
    </row>
    <row r="7">
      <c r="A7" s="29" t="inlineStr">
        <is>
          <t>UberEats Net Revenue</t>
        </is>
      </c>
      <c r="B7" s="30">
        <f>IFERROR(SUMIFS(INDEX('UberEats-Import'!A:Z,0,MATCH("Net Payout",'UberEats-Import'!1:1,0)),INDEX('UberEats-Import'!A:Z,0,MATCH("Restaurant Name",'UberEats-Import'!1:1,0)),"Moto Medi Lubbock"),0)</f>
        <v/>
      </c>
      <c r="C7" s="30" t="n">
        <v>0</v>
      </c>
      <c r="D7" s="30">
        <f>B7-C7</f>
        <v/>
      </c>
      <c r="E7" s="31">
        <f>IF(C7&gt;0,(B7-C7)/C7,0)</f>
        <v/>
      </c>
    </row>
    <row r="8">
      <c r="A8" s="29" t="inlineStr">
        <is>
          <t>Grubhub Net Revenue</t>
        </is>
      </c>
      <c r="B8" s="30">
        <f>IFERROR(SUMIFS(INDEX('Grubhub-Import'!A:Z,0,MATCH("Net Payout",'Grubhub-Import'!1:1,0)),INDEX('Grubhub-Import'!A:Z,0,MATCH("Restaurant",'Grubhub-Import'!1:1,0)),"Moto Medi Lubbock"),0)</f>
        <v/>
      </c>
      <c r="C8" s="30" t="n">
        <v>0</v>
      </c>
      <c r="D8" s="30">
        <f>B8-C8</f>
        <v/>
      </c>
      <c r="E8" s="31">
        <f>IF(C8&gt;0,(B8-C8)/C8,0)</f>
        <v/>
      </c>
    </row>
    <row r="9">
      <c r="A9" s="32" t="inlineStr">
        <is>
          <t>Total Net Revenue</t>
        </is>
      </c>
      <c r="B9" s="33">
        <f>SUM(B5:B8)</f>
        <v/>
      </c>
      <c r="C9" s="33">
        <f>IFERROR(INDEX('Prior-Week'!A:Z,MATCH(B2-7,'Prior-Week'!A:A,0),2),0)</f>
        <v/>
      </c>
      <c r="D9" s="33">
        <f>B9-C9</f>
        <v/>
      </c>
      <c r="E9" s="34">
        <f>IF(C9&gt;0,(B9-C9)/C9,0)</f>
        <v/>
      </c>
    </row>
    <row r="10">
      <c r="A10" s="28" t="inlineStr">
        <is>
          <t>Cost Metrics</t>
        </is>
      </c>
    </row>
    <row r="11" ht="6" customHeight="1"/>
    <row r="12">
      <c r="A12" s="29" t="inlineStr">
        <is>
          <t>BEK Purchases</t>
        </is>
      </c>
      <c r="B12" s="30">
        <f>IFERROR(SUMIF(INDEX('BEK-Import'!A:Z,0,MATCH("Category",'BEK-Import'!1:1,0)),"Food",INDEX('BEK-Import'!A:Z,0,MATCH("Total",'BEK-Import'!1:1,0)))/5,IFERROR(SUMIF(INDEX('BEK-Import'!A:Z,0,MATCH("Total",'BEK-Import'!1:1,0)),"&gt;0",INDEX('BEK-Import'!A:Z,0,MATCH("Total",'BEK-Import'!1:1,0)))/5,0))</f>
        <v/>
      </c>
      <c r="C12" t="inlineStr"/>
      <c r="D12" t="inlineStr"/>
      <c r="E12" t="inlineStr"/>
    </row>
    <row r="13">
      <c r="A13" s="29" t="inlineStr">
        <is>
          <t>Purchase Cost %</t>
        </is>
      </c>
      <c r="B13" s="31">
        <f>IF(B9&gt;0,B12/B9,0)</f>
        <v/>
      </c>
      <c r="C13" s="31">
        <f>IFERROR(INDEX('Prior-Week'!A:Z,MATCH(B2-7,'Prior-Week'!A:A,0),3),0)</f>
        <v/>
      </c>
      <c r="D13" s="31">
        <f>B13-C13</f>
        <v/>
      </c>
      <c r="E13" s="31">
        <f>IF(C13&gt;0,(B13-C13)/C13,0)</f>
        <v/>
      </c>
    </row>
    <row r="14">
      <c r="A14" s="28" t="inlineStr">
        <is>
          <t>Labor</t>
        </is>
      </c>
    </row>
    <row r="15" ht="6" customHeight="1"/>
    <row r="16">
      <c r="A16" s="29" t="inlineStr">
        <is>
          <t>Est. Labor Cost (manual)</t>
        </is>
      </c>
      <c r="B16" s="35" t="n">
        <v>0</v>
      </c>
      <c r="C16" t="inlineStr"/>
      <c r="D16" t="inlineStr"/>
      <c r="E16" t="inlineStr"/>
    </row>
    <row r="17">
      <c r="A17" s="29" t="inlineStr">
        <is>
          <t>Labor Cost %</t>
        </is>
      </c>
      <c r="B17" s="31">
        <f>IF(B9&gt;0,B16/B9,0)</f>
        <v/>
      </c>
      <c r="C17" s="31">
        <f>IFERROR(INDEX('Prior-Week'!A:Z,MATCH(B2-7,'Prior-Week'!A:A,0),4),0)</f>
        <v/>
      </c>
      <c r="D17" s="31">
        <f>B17-C17</f>
        <v/>
      </c>
      <c r="E17" s="31">
        <f>IF(C17&gt;0,(B17-C17)/C17,0)</f>
        <v/>
      </c>
    </row>
    <row r="18">
      <c r="A18" s="28" t="inlineStr">
        <is>
          <t>Volume</t>
        </is>
      </c>
    </row>
    <row r="19" ht="6" customHeight="1"/>
    <row r="20">
      <c r="A20" s="29" t="inlineStr">
        <is>
          <t>Total Orders</t>
        </is>
      </c>
      <c r="B20" s="36">
        <f>IFERROR(SUMIFS(INDEX('Square-Import'!A:Z,0,MATCH("Order Count",'Square-Import'!1:1,0)),INDEX('Square-Import'!A:Z,0,MATCH("Location",'Square-Import'!1:1,0)),"Moto Medi Lubbock"),0)+IFERROR(SUMIFS(INDEX('DoorDash-Import'!A:Z,0,MATCH("Order Count",'DoorDash-Import'!1:1,0)),INDEX('DoorDash-Import'!A:Z,0,MATCH("Store Name",'DoorDash-Import'!1:1,0)),"Moto Medi Lubbock"),0)+IFERROR(SUMIFS(INDEX('UberEats-Import'!A:Z,0,MATCH("Trips",'UberEats-Import'!1:1,0)),INDEX('UberEats-Import'!A:Z,0,MATCH("Restaurant Name",'UberEats-Import'!1:1,0)),"Moto Medi Lubbock"),0)+IFERROR(SUMIFS(INDEX('Grubhub-Import'!A:Z,0,MATCH("Orders",'Grubhub-Import'!1:1,0)),INDEX('Grubhub-Import'!A:Z,0,MATCH("Restaurant",'Grubhub-Import'!1:1,0)),"Moto Medi Lubbock"),0)</f>
        <v/>
      </c>
      <c r="C20" s="36">
        <f>IFERROR(INDEX('Prior-Week'!A:Z,MATCH(B2-7,'Prior-Week'!A:A,0),5),0)</f>
        <v/>
      </c>
      <c r="D20" s="36">
        <f>B20-C20</f>
        <v/>
      </c>
      <c r="E20" s="31">
        <f>IF(C20&gt;0,(B20-C20)/C20,0)</f>
        <v/>
      </c>
    </row>
    <row r="21">
      <c r="A21" s="29" t="inlineStr">
        <is>
          <t>Avg Ticket Size</t>
        </is>
      </c>
      <c r="B21" s="37">
        <f>IF(B20&gt;0,B9/B20,0)</f>
        <v/>
      </c>
      <c r="C21" s="37">
        <f>IFERROR(INDEX('Prior-Week'!A:Z,MATCH(B2-7,'Prior-Week'!A:A,0),6),0)</f>
        <v/>
      </c>
      <c r="D21" s="37">
        <f>B21-C21</f>
        <v/>
      </c>
      <c r="E21" s="31">
        <f>IF(C21&gt;0,(B21-C21)/C21,0)</f>
        <v/>
      </c>
    </row>
    <row r="23" ht="32" customHeight="1">
      <c r="A23" s="38" t="inlineStr">
        <is>
          <t>[MML] Labor Cost requires manual entry — enter weekly labor total in the yellow B16 cell. Phase 2 automates via Square Labor CSV import (PAY-01).</t>
        </is>
      </c>
    </row>
  </sheetData>
  <mergeCells count="6">
    <mergeCell ref="A4:E4"/>
    <mergeCell ref="A10:E10"/>
    <mergeCell ref="A1:E1"/>
    <mergeCell ref="A23:E23"/>
    <mergeCell ref="A14:E14"/>
    <mergeCell ref="A18:E18"/>
  </mergeCells>
  <conditionalFormatting sqref="E9">
    <cfRule type="expression" priority="1" dxfId="3">
      <formula>E9&gt;0.05</formula>
    </cfRule>
    <cfRule type="expression" priority="2" dxfId="1">
      <formula>E9&lt;-0.05</formula>
    </cfRule>
  </conditionalFormatting>
  <conditionalFormatting sqref="E13">
    <cfRule type="expression" priority="3" dxfId="3">
      <formula>E13&gt;0.05</formula>
    </cfRule>
    <cfRule type="expression" priority="4" dxfId="1">
      <formula>E13&lt;-0.05</formula>
    </cfRule>
  </conditionalFormatting>
  <conditionalFormatting sqref="E17">
    <cfRule type="expression" priority="5" dxfId="3">
      <formula>E17&gt;0.05</formula>
    </cfRule>
    <cfRule type="expression" priority="6" dxfId="1">
      <formula>E17&lt;-0.05</formula>
    </cfRule>
  </conditionalFormatting>
  <conditionalFormatting sqref="E20">
    <cfRule type="expression" priority="7" dxfId="3">
      <formula>E20&gt;0.05</formula>
    </cfRule>
    <cfRule type="expression" priority="8" dxfId="1">
      <formula>E20&lt;-0.05</formula>
    </cfRule>
  </conditionalFormatting>
  <conditionalFormatting sqref="E21">
    <cfRule type="expression" priority="9" dxfId="3">
      <formula>E21&gt;0.05</formula>
    </cfRule>
    <cfRule type="expression" priority="10" dxfId="1">
      <formula>E21&lt;-0.05</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999999"/>
    <outlinePr summaryBelow="1" summaryRight="1"/>
    <pageSetUpPr/>
  </sheetPr>
  <dimension ref="A1:E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6" customWidth="1" min="3" max="3"/>
    <col width="16" customWidth="1" min="4" max="4"/>
    <col width="12" customWidth="1" min="5" max="5"/>
  </cols>
  <sheetData>
    <row r="1" ht="28" customHeight="1">
      <c r="A1" s="26" t="inlineStr">
        <is>
          <t>Moto Medi Amarillo</t>
        </is>
      </c>
    </row>
    <row r="2">
      <c r="A2" s="27" t="inlineStr">
        <is>
          <t>Week Ending:</t>
        </is>
      </c>
      <c r="B2" s="11">
        <f>'Summary'!B2</f>
        <v/>
      </c>
    </row>
    <row r="3">
      <c r="B3" s="12" t="inlineStr">
        <is>
          <t>This Week</t>
        </is>
      </c>
      <c r="C3" s="12" t="inlineStr">
        <is>
          <t>Prior Week</t>
        </is>
      </c>
      <c r="D3" s="12" t="inlineStr">
        <is>
          <t>WoW Change</t>
        </is>
      </c>
      <c r="E3" s="12" t="inlineStr">
        <is>
          <t>WoW %</t>
        </is>
      </c>
    </row>
    <row r="4">
      <c r="A4" s="28" t="inlineStr">
        <is>
          <t>Revenue Breakdown</t>
        </is>
      </c>
    </row>
    <row r="5">
      <c r="A5" s="29" t="inlineStr">
        <is>
          <t>Square Net Sales</t>
        </is>
      </c>
      <c r="B5" s="30">
        <f>IFERROR(SUMIFS(INDEX('Square-Import'!A:Z,0,MATCH("Net Sales",'Square-Import'!1:1,0)),INDEX('Square-Import'!A:Z,0,MATCH("Location",'Square-Import'!1:1,0)),"Moto Medi Amarillo"),0)</f>
        <v/>
      </c>
      <c r="C5" s="30" t="n">
        <v>0</v>
      </c>
      <c r="D5" s="30">
        <f>B5-C5</f>
        <v/>
      </c>
      <c r="E5" s="31">
        <f>IF(C5&gt;0,(B5-C5)/C5,0)</f>
        <v/>
      </c>
    </row>
    <row r="6">
      <c r="A6" s="29" t="inlineStr">
        <is>
          <t>DoorDash Net Revenue</t>
        </is>
      </c>
      <c r="B6" s="30">
        <f>IFERROR(SUMIFS(INDEX('DoorDash-Import'!A:Z,0,MATCH("Net Payout",'DoorDash-Import'!1:1,0)),INDEX('DoorDash-Import'!A:Z,0,MATCH("Store Name",'DoorDash-Import'!1:1,0)),"Moto Medi Amarillo"),0)</f>
        <v/>
      </c>
      <c r="C6" s="30" t="n">
        <v>0</v>
      </c>
      <c r="D6" s="30">
        <f>B6-C6</f>
        <v/>
      </c>
      <c r="E6" s="31">
        <f>IF(C6&gt;0,(B6-C6)/C6,0)</f>
        <v/>
      </c>
    </row>
    <row r="7">
      <c r="A7" s="29" t="inlineStr">
        <is>
          <t>UberEats Net Revenue</t>
        </is>
      </c>
      <c r="B7" s="30">
        <f>IFERROR(SUMIFS(INDEX('UberEats-Import'!A:Z,0,MATCH("Net Payout",'UberEats-Import'!1:1,0)),INDEX('UberEats-Import'!A:Z,0,MATCH("Restaurant Name",'UberEats-Import'!1:1,0)),"Moto Medi Amarillo"),0)</f>
        <v/>
      </c>
      <c r="C7" s="30" t="n">
        <v>0</v>
      </c>
      <c r="D7" s="30">
        <f>B7-C7</f>
        <v/>
      </c>
      <c r="E7" s="31">
        <f>IF(C7&gt;0,(B7-C7)/C7,0)</f>
        <v/>
      </c>
    </row>
    <row r="8">
      <c r="A8" s="29" t="inlineStr">
        <is>
          <t>Grubhub Net Revenue</t>
        </is>
      </c>
      <c r="B8" s="30">
        <f>IFERROR(SUMIFS(INDEX('Grubhub-Import'!A:Z,0,MATCH("Net Payout",'Grubhub-Import'!1:1,0)),INDEX('Grubhub-Import'!A:Z,0,MATCH("Restaurant",'Grubhub-Import'!1:1,0)),"Moto Medi Amarillo"),0)</f>
        <v/>
      </c>
      <c r="C8" s="30" t="n">
        <v>0</v>
      </c>
      <c r="D8" s="30">
        <f>B8-C8</f>
        <v/>
      </c>
      <c r="E8" s="31">
        <f>IF(C8&gt;0,(B8-C8)/C8,0)</f>
        <v/>
      </c>
    </row>
    <row r="9">
      <c r="A9" s="32" t="inlineStr">
        <is>
          <t>Total Net Revenue</t>
        </is>
      </c>
      <c r="B9" s="33">
        <f>SUM(B5:B8)</f>
        <v/>
      </c>
      <c r="C9" s="33">
        <f>IFERROR(INDEX('Prior-Week'!A:Z,MATCH(B2-7,'Prior-Week'!A:A,0),7),0)</f>
        <v/>
      </c>
      <c r="D9" s="33">
        <f>B9-C9</f>
        <v/>
      </c>
      <c r="E9" s="34">
        <f>IF(C9&gt;0,(B9-C9)/C9,0)</f>
        <v/>
      </c>
    </row>
    <row r="10">
      <c r="A10" s="28" t="inlineStr">
        <is>
          <t>Cost Metrics</t>
        </is>
      </c>
    </row>
    <row r="11" ht="6" customHeight="1"/>
    <row r="12">
      <c r="A12" s="29" t="inlineStr">
        <is>
          <t>BEK Purchases</t>
        </is>
      </c>
      <c r="B12" s="30">
        <f>IFERROR(SUMIF(INDEX('BEK-Import'!A:Z,0,MATCH("Category",'BEK-Import'!1:1,0)),"Food",INDEX('BEK-Import'!A:Z,0,MATCH("Total",'BEK-Import'!1:1,0)))/5,IFERROR(SUMIF(INDEX('BEK-Import'!A:Z,0,MATCH("Total",'BEK-Import'!1:1,0)),"&gt;0",INDEX('BEK-Import'!A:Z,0,MATCH("Total",'BEK-Import'!1:1,0)))/5,0))</f>
        <v/>
      </c>
      <c r="C12" t="inlineStr"/>
      <c r="D12" t="inlineStr"/>
      <c r="E12" t="inlineStr"/>
    </row>
    <row r="13">
      <c r="A13" s="29" t="inlineStr">
        <is>
          <t>Purchase Cost %</t>
        </is>
      </c>
      <c r="B13" s="31">
        <f>IF(B9&gt;0,B12/B9,0)</f>
        <v/>
      </c>
      <c r="C13" s="31">
        <f>IFERROR(INDEX('Prior-Week'!A:Z,MATCH(B2-7,'Prior-Week'!A:A,0),8),0)</f>
        <v/>
      </c>
      <c r="D13" s="31">
        <f>B13-C13</f>
        <v/>
      </c>
      <c r="E13" s="31">
        <f>IF(C13&gt;0,(B13-C13)/C13,0)</f>
        <v/>
      </c>
    </row>
    <row r="14">
      <c r="A14" s="28" t="inlineStr">
        <is>
          <t>Labor</t>
        </is>
      </c>
    </row>
    <row r="15" ht="6" customHeight="1"/>
    <row r="16">
      <c r="A16" s="29" t="inlineStr">
        <is>
          <t>Est. Labor Cost (manual)</t>
        </is>
      </c>
      <c r="B16" s="35" t="n">
        <v>0</v>
      </c>
      <c r="C16" t="inlineStr"/>
      <c r="D16" t="inlineStr"/>
      <c r="E16" t="inlineStr"/>
    </row>
    <row r="17">
      <c r="A17" s="29" t="inlineStr">
        <is>
          <t>Labor Cost %</t>
        </is>
      </c>
      <c r="B17" s="31">
        <f>IF(B9&gt;0,B16/B9,0)</f>
        <v/>
      </c>
      <c r="C17" s="31">
        <f>IFERROR(INDEX('Prior-Week'!A:Z,MATCH(B2-7,'Prior-Week'!A:A,0),9),0)</f>
        <v/>
      </c>
      <c r="D17" s="31">
        <f>B17-C17</f>
        <v/>
      </c>
      <c r="E17" s="31">
        <f>IF(C17&gt;0,(B17-C17)/C17,0)</f>
        <v/>
      </c>
    </row>
    <row r="18">
      <c r="A18" s="28" t="inlineStr">
        <is>
          <t>Volume</t>
        </is>
      </c>
    </row>
    <row r="19" ht="6" customHeight="1"/>
    <row r="20">
      <c r="A20" s="29" t="inlineStr">
        <is>
          <t>Total Orders</t>
        </is>
      </c>
      <c r="B20" s="36">
        <f>IFERROR(SUMIFS(INDEX('Square-Import'!A:Z,0,MATCH("Order Count",'Square-Import'!1:1,0)),INDEX('Square-Import'!A:Z,0,MATCH("Location",'Square-Import'!1:1,0)),"Moto Medi Amarillo"),0)+IFERROR(SUMIFS(INDEX('DoorDash-Import'!A:Z,0,MATCH("Order Count",'DoorDash-Import'!1:1,0)),INDEX('DoorDash-Import'!A:Z,0,MATCH("Store Name",'DoorDash-Import'!1:1,0)),"Moto Medi Amarillo"),0)+IFERROR(SUMIFS(INDEX('UberEats-Import'!A:Z,0,MATCH("Trips",'UberEats-Import'!1:1,0)),INDEX('UberEats-Import'!A:Z,0,MATCH("Restaurant Name",'UberEats-Import'!1:1,0)),"Moto Medi Amarillo"),0)+IFERROR(SUMIFS(INDEX('Grubhub-Import'!A:Z,0,MATCH("Orders",'Grubhub-Import'!1:1,0)),INDEX('Grubhub-Import'!A:Z,0,MATCH("Restaurant",'Grubhub-Import'!1:1,0)),"Moto Medi Amarillo"),0)</f>
        <v/>
      </c>
      <c r="C20" s="36">
        <f>IFERROR(INDEX('Prior-Week'!A:Z,MATCH(B2-7,'Prior-Week'!A:A,0),10),0)</f>
        <v/>
      </c>
      <c r="D20" s="36">
        <f>B20-C20</f>
        <v/>
      </c>
      <c r="E20" s="31">
        <f>IF(C20&gt;0,(B20-C20)/C20,0)</f>
        <v/>
      </c>
    </row>
    <row r="21">
      <c r="A21" s="29" t="inlineStr">
        <is>
          <t>Avg Ticket Size</t>
        </is>
      </c>
      <c r="B21" s="37">
        <f>IF(B20&gt;0,B9/B20,0)</f>
        <v/>
      </c>
      <c r="C21" s="37">
        <f>IFERROR(INDEX('Prior-Week'!A:Z,MATCH(B2-7,'Prior-Week'!A:A,0),11),0)</f>
        <v/>
      </c>
      <c r="D21" s="37">
        <f>B21-C21</f>
        <v/>
      </c>
      <c r="E21" s="31">
        <f>IF(C21&gt;0,(B21-C21)/C21,0)</f>
        <v/>
      </c>
    </row>
    <row r="23" ht="32" customHeight="1">
      <c r="A23" s="38" t="inlineStr">
        <is>
          <t>[MMA] Labor Cost requires manual entry — enter weekly labor total in the yellow B16 cell. Phase 2 automates via Square Labor CSV import (PAY-01).</t>
        </is>
      </c>
    </row>
  </sheetData>
  <mergeCells count="6">
    <mergeCell ref="A4:E4"/>
    <mergeCell ref="A10:E10"/>
    <mergeCell ref="A1:E1"/>
    <mergeCell ref="A23:E23"/>
    <mergeCell ref="A14:E14"/>
    <mergeCell ref="A18:E18"/>
  </mergeCells>
  <conditionalFormatting sqref="E9">
    <cfRule type="expression" priority="1" dxfId="3">
      <formula>E9&gt;0.05</formula>
    </cfRule>
    <cfRule type="expression" priority="2" dxfId="1">
      <formula>E9&lt;-0.05</formula>
    </cfRule>
  </conditionalFormatting>
  <conditionalFormatting sqref="E13">
    <cfRule type="expression" priority="3" dxfId="3">
      <formula>E13&gt;0.05</formula>
    </cfRule>
    <cfRule type="expression" priority="4" dxfId="1">
      <formula>E13&lt;-0.05</formula>
    </cfRule>
  </conditionalFormatting>
  <conditionalFormatting sqref="E17">
    <cfRule type="expression" priority="5" dxfId="3">
      <formula>E17&gt;0.05</formula>
    </cfRule>
    <cfRule type="expression" priority="6" dxfId="1">
      <formula>E17&lt;-0.05</formula>
    </cfRule>
  </conditionalFormatting>
  <conditionalFormatting sqref="E20">
    <cfRule type="expression" priority="7" dxfId="3">
      <formula>E20&gt;0.05</formula>
    </cfRule>
    <cfRule type="expression" priority="8" dxfId="1">
      <formula>E20&lt;-0.05</formula>
    </cfRule>
  </conditionalFormatting>
  <conditionalFormatting sqref="E21">
    <cfRule type="expression" priority="9" dxfId="3">
      <formula>E21&gt;0.05</formula>
    </cfRule>
    <cfRule type="expression" priority="10" dxfId="1">
      <formula>E21&lt;-0.05</formula>
    </cfRule>
  </conditionalFormatting>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999999"/>
    <outlinePr summaryBelow="1" summaryRight="1"/>
    <pageSetUpPr/>
  </sheetPr>
  <dimension ref="A1:E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6" customWidth="1" min="3" max="3"/>
    <col width="16" customWidth="1" min="4" max="4"/>
    <col width="12" customWidth="1" min="5" max="5"/>
  </cols>
  <sheetData>
    <row r="1" ht="28" customHeight="1">
      <c r="A1" s="26" t="inlineStr">
        <is>
          <t>Moto Medi 3rd</t>
        </is>
      </c>
    </row>
    <row r="2">
      <c r="A2" s="27" t="inlineStr">
        <is>
          <t>Week Ending:</t>
        </is>
      </c>
      <c r="B2" s="11">
        <f>'Summary'!B2</f>
        <v/>
      </c>
    </row>
    <row r="3">
      <c r="B3" s="12" t="inlineStr">
        <is>
          <t>This Week</t>
        </is>
      </c>
      <c r="C3" s="12" t="inlineStr">
        <is>
          <t>Prior Week</t>
        </is>
      </c>
      <c r="D3" s="12" t="inlineStr">
        <is>
          <t>WoW Change</t>
        </is>
      </c>
      <c r="E3" s="12" t="inlineStr">
        <is>
          <t>WoW %</t>
        </is>
      </c>
    </row>
    <row r="4">
      <c r="A4" s="28" t="inlineStr">
        <is>
          <t>Revenue Breakdown</t>
        </is>
      </c>
    </row>
    <row r="5">
      <c r="A5" s="29" t="inlineStr">
        <is>
          <t>Square Net Sales</t>
        </is>
      </c>
      <c r="B5" s="30">
        <f>IFERROR(SUMIFS(INDEX('Square-Import'!A:Z,0,MATCH("Net Sales",'Square-Import'!1:1,0)),INDEX('Square-Import'!A:Z,0,MATCH("Location",'Square-Import'!1:1,0)),"Moto Medi 3rd"),0)</f>
        <v/>
      </c>
      <c r="C5" s="30" t="n">
        <v>0</v>
      </c>
      <c r="D5" s="30">
        <f>B5-C5</f>
        <v/>
      </c>
      <c r="E5" s="31">
        <f>IF(C5&gt;0,(B5-C5)/C5,0)</f>
        <v/>
      </c>
    </row>
    <row r="6">
      <c r="A6" s="29" t="inlineStr">
        <is>
          <t>DoorDash Net Revenue</t>
        </is>
      </c>
      <c r="B6" s="30">
        <f>IFERROR(SUMIFS(INDEX('DoorDash-Import'!A:Z,0,MATCH("Net Payout",'DoorDash-Import'!1:1,0)),INDEX('DoorDash-Import'!A:Z,0,MATCH("Store Name",'DoorDash-Import'!1:1,0)),"Moto Medi 3rd"),0)</f>
        <v/>
      </c>
      <c r="C6" s="30" t="n">
        <v>0</v>
      </c>
      <c r="D6" s="30">
        <f>B6-C6</f>
        <v/>
      </c>
      <c r="E6" s="31">
        <f>IF(C6&gt;0,(B6-C6)/C6,0)</f>
        <v/>
      </c>
    </row>
    <row r="7">
      <c r="A7" s="29" t="inlineStr">
        <is>
          <t>UberEats Net Revenue</t>
        </is>
      </c>
      <c r="B7" s="30">
        <f>IFERROR(SUMIFS(INDEX('UberEats-Import'!A:Z,0,MATCH("Net Payout",'UberEats-Import'!1:1,0)),INDEX('UberEats-Import'!A:Z,0,MATCH("Restaurant Name",'UberEats-Import'!1:1,0)),"Moto Medi 3rd"),0)</f>
        <v/>
      </c>
      <c r="C7" s="30" t="n">
        <v>0</v>
      </c>
      <c r="D7" s="30">
        <f>B7-C7</f>
        <v/>
      </c>
      <c r="E7" s="31">
        <f>IF(C7&gt;0,(B7-C7)/C7,0)</f>
        <v/>
      </c>
    </row>
    <row r="8">
      <c r="A8" s="29" t="inlineStr">
        <is>
          <t>Grubhub Net Revenue</t>
        </is>
      </c>
      <c r="B8" s="30">
        <f>IFERROR(SUMIFS(INDEX('Grubhub-Import'!A:Z,0,MATCH("Net Payout",'Grubhub-Import'!1:1,0)),INDEX('Grubhub-Import'!A:Z,0,MATCH("Restaurant",'Grubhub-Import'!1:1,0)),"Moto Medi 3rd"),0)</f>
        <v/>
      </c>
      <c r="C8" s="30" t="n">
        <v>0</v>
      </c>
      <c r="D8" s="30">
        <f>B8-C8</f>
        <v/>
      </c>
      <c r="E8" s="31">
        <f>IF(C8&gt;0,(B8-C8)/C8,0)</f>
        <v/>
      </c>
    </row>
    <row r="9">
      <c r="A9" s="32" t="inlineStr">
        <is>
          <t>Total Net Revenue</t>
        </is>
      </c>
      <c r="B9" s="33">
        <f>SUM(B5:B8)</f>
        <v/>
      </c>
      <c r="C9" s="33">
        <f>IFERROR(INDEX('Prior-Week'!A:Z,MATCH(B2-7,'Prior-Week'!A:A,0),12),0)</f>
        <v/>
      </c>
      <c r="D9" s="33">
        <f>B9-C9</f>
        <v/>
      </c>
      <c r="E9" s="34">
        <f>IF(C9&gt;0,(B9-C9)/C9,0)</f>
        <v/>
      </c>
    </row>
    <row r="10">
      <c r="A10" s="28" t="inlineStr">
        <is>
          <t>Cost Metrics</t>
        </is>
      </c>
    </row>
    <row r="11" ht="6" customHeight="1"/>
    <row r="12">
      <c r="A12" s="29" t="inlineStr">
        <is>
          <t>BEK Purchases</t>
        </is>
      </c>
      <c r="B12" s="30">
        <f>IFERROR(SUMIF(INDEX('BEK-Import'!A:Z,0,MATCH("Category",'BEK-Import'!1:1,0)),"Food",INDEX('BEK-Import'!A:Z,0,MATCH("Total",'BEK-Import'!1:1,0)))/5,IFERROR(SUMIF(INDEX('BEK-Import'!A:Z,0,MATCH("Total",'BEK-Import'!1:1,0)),"&gt;0",INDEX('BEK-Import'!A:Z,0,MATCH("Total",'BEK-Import'!1:1,0)))/5,0))</f>
        <v/>
      </c>
      <c r="C12" t="inlineStr"/>
      <c r="D12" t="inlineStr"/>
      <c r="E12" t="inlineStr"/>
    </row>
    <row r="13">
      <c r="A13" s="29" t="inlineStr">
        <is>
          <t>Purchase Cost %</t>
        </is>
      </c>
      <c r="B13" s="31">
        <f>IF(B9&gt;0,B12/B9,0)</f>
        <v/>
      </c>
      <c r="C13" s="31">
        <f>IFERROR(INDEX('Prior-Week'!A:Z,MATCH(B2-7,'Prior-Week'!A:A,0),13),0)</f>
        <v/>
      </c>
      <c r="D13" s="31">
        <f>B13-C13</f>
        <v/>
      </c>
      <c r="E13" s="31">
        <f>IF(C13&gt;0,(B13-C13)/C13,0)</f>
        <v/>
      </c>
    </row>
    <row r="14">
      <c r="A14" s="28" t="inlineStr">
        <is>
          <t>Labor</t>
        </is>
      </c>
    </row>
    <row r="15" ht="6" customHeight="1"/>
    <row r="16">
      <c r="A16" s="29" t="inlineStr">
        <is>
          <t>Est. Labor Cost (manual)</t>
        </is>
      </c>
      <c r="B16" s="35" t="n">
        <v>0</v>
      </c>
      <c r="C16" t="inlineStr"/>
      <c r="D16" t="inlineStr"/>
      <c r="E16" t="inlineStr"/>
    </row>
    <row r="17">
      <c r="A17" s="29" t="inlineStr">
        <is>
          <t>Labor Cost %</t>
        </is>
      </c>
      <c r="B17" s="31">
        <f>IF(B9&gt;0,B16/B9,0)</f>
        <v/>
      </c>
      <c r="C17" s="31">
        <f>IFERROR(INDEX('Prior-Week'!A:Z,MATCH(B2-7,'Prior-Week'!A:A,0),14),0)</f>
        <v/>
      </c>
      <c r="D17" s="31">
        <f>B17-C17</f>
        <v/>
      </c>
      <c r="E17" s="31">
        <f>IF(C17&gt;0,(B17-C17)/C17,0)</f>
        <v/>
      </c>
    </row>
    <row r="18">
      <c r="A18" s="28" t="inlineStr">
        <is>
          <t>Volume</t>
        </is>
      </c>
    </row>
    <row r="19" ht="6" customHeight="1"/>
    <row r="20">
      <c r="A20" s="29" t="inlineStr">
        <is>
          <t>Total Orders</t>
        </is>
      </c>
      <c r="B20" s="36">
        <f>IFERROR(SUMIFS(INDEX('Square-Import'!A:Z,0,MATCH("Order Count",'Square-Import'!1:1,0)),INDEX('Square-Import'!A:Z,0,MATCH("Location",'Square-Import'!1:1,0)),"Moto Medi 3rd"),0)+IFERROR(SUMIFS(INDEX('DoorDash-Import'!A:Z,0,MATCH("Order Count",'DoorDash-Import'!1:1,0)),INDEX('DoorDash-Import'!A:Z,0,MATCH("Store Name",'DoorDash-Import'!1:1,0)),"Moto Medi 3rd"),0)+IFERROR(SUMIFS(INDEX('UberEats-Import'!A:Z,0,MATCH("Trips",'UberEats-Import'!1:1,0)),INDEX('UberEats-Import'!A:Z,0,MATCH("Restaurant Name",'UberEats-Import'!1:1,0)),"Moto Medi 3rd"),0)+IFERROR(SUMIFS(INDEX('Grubhub-Import'!A:Z,0,MATCH("Orders",'Grubhub-Import'!1:1,0)),INDEX('Grubhub-Import'!A:Z,0,MATCH("Restaurant",'Grubhub-Import'!1:1,0)),"Moto Medi 3rd"),0)</f>
        <v/>
      </c>
      <c r="C20" s="36">
        <f>IFERROR(INDEX('Prior-Week'!A:Z,MATCH(B2-7,'Prior-Week'!A:A,0),15),0)</f>
        <v/>
      </c>
      <c r="D20" s="36">
        <f>B20-C20</f>
        <v/>
      </c>
      <c r="E20" s="31">
        <f>IF(C20&gt;0,(B20-C20)/C20,0)</f>
        <v/>
      </c>
    </row>
    <row r="21">
      <c r="A21" s="29" t="inlineStr">
        <is>
          <t>Avg Ticket Size</t>
        </is>
      </c>
      <c r="B21" s="37">
        <f>IF(B20&gt;0,B9/B20,0)</f>
        <v/>
      </c>
      <c r="C21" s="37">
        <f>IFERROR(INDEX('Prior-Week'!A:Z,MATCH(B2-7,'Prior-Week'!A:A,0),16),0)</f>
        <v/>
      </c>
      <c r="D21" s="37">
        <f>B21-C21</f>
        <v/>
      </c>
      <c r="E21" s="31">
        <f>IF(C21&gt;0,(B21-C21)/C21,0)</f>
        <v/>
      </c>
    </row>
    <row r="23" ht="32" customHeight="1">
      <c r="A23" s="38" t="inlineStr">
        <is>
          <t>[MM3] Labor Cost requires manual entry — enter weekly labor total in the yellow B16 cell. Phase 2 automates via Square Labor CSV import (PAY-01).</t>
        </is>
      </c>
    </row>
  </sheetData>
  <mergeCells count="6">
    <mergeCell ref="A4:E4"/>
    <mergeCell ref="A10:E10"/>
    <mergeCell ref="A1:E1"/>
    <mergeCell ref="A23:E23"/>
    <mergeCell ref="A14:E14"/>
    <mergeCell ref="A18:E18"/>
  </mergeCells>
  <conditionalFormatting sqref="E9">
    <cfRule type="expression" priority="1" dxfId="3">
      <formula>E9&gt;0.05</formula>
    </cfRule>
    <cfRule type="expression" priority="2" dxfId="1">
      <formula>E9&lt;-0.05</formula>
    </cfRule>
  </conditionalFormatting>
  <conditionalFormatting sqref="E13">
    <cfRule type="expression" priority="3" dxfId="3">
      <formula>E13&gt;0.05</formula>
    </cfRule>
    <cfRule type="expression" priority="4" dxfId="1">
      <formula>E13&lt;-0.05</formula>
    </cfRule>
  </conditionalFormatting>
  <conditionalFormatting sqref="E17">
    <cfRule type="expression" priority="5" dxfId="3">
      <formula>E17&gt;0.05</formula>
    </cfRule>
    <cfRule type="expression" priority="6" dxfId="1">
      <formula>E17&lt;-0.05</formula>
    </cfRule>
  </conditionalFormatting>
  <conditionalFormatting sqref="E20">
    <cfRule type="expression" priority="7" dxfId="3">
      <formula>E20&gt;0.05</formula>
    </cfRule>
    <cfRule type="expression" priority="8" dxfId="1">
      <formula>E20&lt;-0.05</formula>
    </cfRule>
  </conditionalFormatting>
  <conditionalFormatting sqref="E21">
    <cfRule type="expression" priority="9" dxfId="3">
      <formula>E21&gt;0.05</formula>
    </cfRule>
    <cfRule type="expression" priority="10" dxfId="1">
      <formula>E21&lt;-0.05</formula>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999999"/>
    <outlinePr summaryBelow="1" summaryRight="1"/>
    <pageSetUpPr/>
  </sheetPr>
  <dimension ref="A1:E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6" customWidth="1" min="3" max="3"/>
    <col width="16" customWidth="1" min="4" max="4"/>
    <col width="12" customWidth="1" min="5" max="5"/>
  </cols>
  <sheetData>
    <row r="1" ht="28" customHeight="1">
      <c r="A1" s="26" t="inlineStr">
        <is>
          <t>Tikka Shack 1</t>
        </is>
      </c>
    </row>
    <row r="2">
      <c r="A2" s="27" t="inlineStr">
        <is>
          <t>Week Ending:</t>
        </is>
      </c>
      <c r="B2" s="11">
        <f>'Summary'!B2</f>
        <v/>
      </c>
    </row>
    <row r="3">
      <c r="B3" s="12" t="inlineStr">
        <is>
          <t>This Week</t>
        </is>
      </c>
      <c r="C3" s="12" t="inlineStr">
        <is>
          <t>Prior Week</t>
        </is>
      </c>
      <c r="D3" s="12" t="inlineStr">
        <is>
          <t>WoW Change</t>
        </is>
      </c>
      <c r="E3" s="12" t="inlineStr">
        <is>
          <t>WoW %</t>
        </is>
      </c>
    </row>
    <row r="4">
      <c r="A4" s="28" t="inlineStr">
        <is>
          <t>Revenue Breakdown</t>
        </is>
      </c>
    </row>
    <row r="5">
      <c r="A5" s="29" t="inlineStr">
        <is>
          <t>Square Net Sales</t>
        </is>
      </c>
      <c r="B5" s="30">
        <f>IFERROR(SUMIFS(INDEX('Square-Import'!A:Z,0,MATCH("Net Sales",'Square-Import'!1:1,0)),INDEX('Square-Import'!A:Z,0,MATCH("Location",'Square-Import'!1:1,0)),"Tikka Shack 1"),0)</f>
        <v/>
      </c>
      <c r="C5" s="30" t="n">
        <v>0</v>
      </c>
      <c r="D5" s="30">
        <f>B5-C5</f>
        <v/>
      </c>
      <c r="E5" s="31">
        <f>IF(C5&gt;0,(B5-C5)/C5,0)</f>
        <v/>
      </c>
    </row>
    <row r="6">
      <c r="A6" s="29" t="inlineStr">
        <is>
          <t>DoorDash Net Revenue</t>
        </is>
      </c>
      <c r="B6" s="30">
        <f>IFERROR(SUMIFS(INDEX('DoorDash-Import'!A:Z,0,MATCH("Net Payout",'DoorDash-Import'!1:1,0)),INDEX('DoorDash-Import'!A:Z,0,MATCH("Store Name",'DoorDash-Import'!1:1,0)),"Tikka Shack 1"),0)</f>
        <v/>
      </c>
      <c r="C6" s="30" t="n">
        <v>0</v>
      </c>
      <c r="D6" s="30">
        <f>B6-C6</f>
        <v/>
      </c>
      <c r="E6" s="31">
        <f>IF(C6&gt;0,(B6-C6)/C6,0)</f>
        <v/>
      </c>
    </row>
    <row r="7">
      <c r="A7" s="29" t="inlineStr">
        <is>
          <t>UberEats Net Revenue</t>
        </is>
      </c>
      <c r="B7" s="30">
        <f>IFERROR(SUMIFS(INDEX('UberEats-Import'!A:Z,0,MATCH("Net Payout",'UberEats-Import'!1:1,0)),INDEX('UberEats-Import'!A:Z,0,MATCH("Restaurant Name",'UberEats-Import'!1:1,0)),"Tikka Shack 1"),0)</f>
        <v/>
      </c>
      <c r="C7" s="30" t="n">
        <v>0</v>
      </c>
      <c r="D7" s="30">
        <f>B7-C7</f>
        <v/>
      </c>
      <c r="E7" s="31">
        <f>IF(C7&gt;0,(B7-C7)/C7,0)</f>
        <v/>
      </c>
    </row>
    <row r="8">
      <c r="A8" s="29" t="inlineStr">
        <is>
          <t>Grubhub Net Revenue</t>
        </is>
      </c>
      <c r="B8" s="30">
        <f>IFERROR(SUMIFS(INDEX('Grubhub-Import'!A:Z,0,MATCH("Net Payout",'Grubhub-Import'!1:1,0)),INDEX('Grubhub-Import'!A:Z,0,MATCH("Restaurant",'Grubhub-Import'!1:1,0)),"Tikka Shack 1"),0)</f>
        <v/>
      </c>
      <c r="C8" s="30" t="n">
        <v>0</v>
      </c>
      <c r="D8" s="30">
        <f>B8-C8</f>
        <v/>
      </c>
      <c r="E8" s="31">
        <f>IF(C8&gt;0,(B8-C8)/C8,0)</f>
        <v/>
      </c>
    </row>
    <row r="9">
      <c r="A9" s="32" t="inlineStr">
        <is>
          <t>Total Net Revenue</t>
        </is>
      </c>
      <c r="B9" s="33">
        <f>SUM(B5:B8)</f>
        <v/>
      </c>
      <c r="C9" s="33">
        <f>IFERROR(INDEX('Prior-Week'!A:Z,MATCH(B2-7,'Prior-Week'!A:A,0),17),0)</f>
        <v/>
      </c>
      <c r="D9" s="33">
        <f>B9-C9</f>
        <v/>
      </c>
      <c r="E9" s="34">
        <f>IF(C9&gt;0,(B9-C9)/C9,0)</f>
        <v/>
      </c>
    </row>
    <row r="10">
      <c r="A10" s="28" t="inlineStr">
        <is>
          <t>Cost Metrics</t>
        </is>
      </c>
    </row>
    <row r="11" ht="6" customHeight="1"/>
    <row r="12">
      <c r="A12" s="29" t="inlineStr">
        <is>
          <t>BEK Purchases</t>
        </is>
      </c>
      <c r="B12" s="30">
        <f>IFERROR(SUMIF(INDEX('BEK-Import'!A:Z,0,MATCH("Category",'BEK-Import'!1:1,0)),"Food",INDEX('BEK-Import'!A:Z,0,MATCH("Total",'BEK-Import'!1:1,0)))/5,IFERROR(SUMIF(INDEX('BEK-Import'!A:Z,0,MATCH("Total",'BEK-Import'!1:1,0)),"&gt;0",INDEX('BEK-Import'!A:Z,0,MATCH("Total",'BEK-Import'!1:1,0)))/5,0))</f>
        <v/>
      </c>
      <c r="C12" t="inlineStr"/>
      <c r="D12" t="inlineStr"/>
      <c r="E12" t="inlineStr"/>
    </row>
    <row r="13">
      <c r="A13" s="29" t="inlineStr">
        <is>
          <t>Purchase Cost %</t>
        </is>
      </c>
      <c r="B13" s="31">
        <f>IF(B9&gt;0,B12/B9,0)</f>
        <v/>
      </c>
      <c r="C13" s="31">
        <f>IFERROR(INDEX('Prior-Week'!A:Z,MATCH(B2-7,'Prior-Week'!A:A,0),18),0)</f>
        <v/>
      </c>
      <c r="D13" s="31">
        <f>B13-C13</f>
        <v/>
      </c>
      <c r="E13" s="31">
        <f>IF(C13&gt;0,(B13-C13)/C13,0)</f>
        <v/>
      </c>
    </row>
    <row r="14">
      <c r="A14" s="28" t="inlineStr">
        <is>
          <t>Labor</t>
        </is>
      </c>
    </row>
    <row r="15" ht="6" customHeight="1"/>
    <row r="16">
      <c r="A16" s="29" t="inlineStr">
        <is>
          <t>Est. Labor Cost (manual)</t>
        </is>
      </c>
      <c r="B16" s="35" t="n">
        <v>0</v>
      </c>
      <c r="C16" t="inlineStr"/>
      <c r="D16" t="inlineStr"/>
      <c r="E16" t="inlineStr"/>
    </row>
    <row r="17">
      <c r="A17" s="29" t="inlineStr">
        <is>
          <t>Labor Cost %</t>
        </is>
      </c>
      <c r="B17" s="31">
        <f>IF(B9&gt;0,B16/B9,0)</f>
        <v/>
      </c>
      <c r="C17" s="31">
        <f>IFERROR(INDEX('Prior-Week'!A:Z,MATCH(B2-7,'Prior-Week'!A:A,0),19),0)</f>
        <v/>
      </c>
      <c r="D17" s="31">
        <f>B17-C17</f>
        <v/>
      </c>
      <c r="E17" s="31">
        <f>IF(C17&gt;0,(B17-C17)/C17,0)</f>
        <v/>
      </c>
    </row>
    <row r="18">
      <c r="A18" s="28" t="inlineStr">
        <is>
          <t>Volume</t>
        </is>
      </c>
    </row>
    <row r="19" ht="6" customHeight="1"/>
    <row r="20">
      <c r="A20" s="29" t="inlineStr">
        <is>
          <t>Total Orders</t>
        </is>
      </c>
      <c r="B20" s="36">
        <f>IFERROR(SUMIFS(INDEX('Square-Import'!A:Z,0,MATCH("Order Count",'Square-Import'!1:1,0)),INDEX('Square-Import'!A:Z,0,MATCH("Location",'Square-Import'!1:1,0)),"Tikka Shack 1"),0)+IFERROR(SUMIFS(INDEX('DoorDash-Import'!A:Z,0,MATCH("Order Count",'DoorDash-Import'!1:1,0)),INDEX('DoorDash-Import'!A:Z,0,MATCH("Store Name",'DoorDash-Import'!1:1,0)),"Tikka Shack 1"),0)+IFERROR(SUMIFS(INDEX('UberEats-Import'!A:Z,0,MATCH("Trips",'UberEats-Import'!1:1,0)),INDEX('UberEats-Import'!A:Z,0,MATCH("Restaurant Name",'UberEats-Import'!1:1,0)),"Tikka Shack 1"),0)+IFERROR(SUMIFS(INDEX('Grubhub-Import'!A:Z,0,MATCH("Orders",'Grubhub-Import'!1:1,0)),INDEX('Grubhub-Import'!A:Z,0,MATCH("Restaurant",'Grubhub-Import'!1:1,0)),"Tikka Shack 1"),0)</f>
        <v/>
      </c>
      <c r="C20" s="36">
        <f>IFERROR(INDEX('Prior-Week'!A:Z,MATCH(B2-7,'Prior-Week'!A:A,0),20),0)</f>
        <v/>
      </c>
      <c r="D20" s="36">
        <f>B20-C20</f>
        <v/>
      </c>
      <c r="E20" s="31">
        <f>IF(C20&gt;0,(B20-C20)/C20,0)</f>
        <v/>
      </c>
    </row>
    <row r="21">
      <c r="A21" s="29" t="inlineStr">
        <is>
          <t>Avg Ticket Size</t>
        </is>
      </c>
      <c r="B21" s="37">
        <f>IF(B20&gt;0,B9/B20,0)</f>
        <v/>
      </c>
      <c r="C21" s="37">
        <f>IFERROR(INDEX('Prior-Week'!A:Z,MATCH(B2-7,'Prior-Week'!A:A,0),21),0)</f>
        <v/>
      </c>
      <c r="D21" s="37">
        <f>B21-C21</f>
        <v/>
      </c>
      <c r="E21" s="31">
        <f>IF(C21&gt;0,(B21-C21)/C21,0)</f>
        <v/>
      </c>
    </row>
    <row r="23" ht="32" customHeight="1">
      <c r="A23" s="38" t="inlineStr">
        <is>
          <t>[TS1] Labor Cost requires manual entry — enter weekly labor total in the yellow B16 cell. Phase 2 automates via Square Labor CSV import (PAY-01).</t>
        </is>
      </c>
    </row>
  </sheetData>
  <mergeCells count="6">
    <mergeCell ref="A4:E4"/>
    <mergeCell ref="A10:E10"/>
    <mergeCell ref="A1:E1"/>
    <mergeCell ref="A23:E23"/>
    <mergeCell ref="A14:E14"/>
    <mergeCell ref="A18:E18"/>
  </mergeCells>
  <conditionalFormatting sqref="E9">
    <cfRule type="expression" priority="1" dxfId="3">
      <formula>E9&gt;0.05</formula>
    </cfRule>
    <cfRule type="expression" priority="2" dxfId="1">
      <formula>E9&lt;-0.05</formula>
    </cfRule>
  </conditionalFormatting>
  <conditionalFormatting sqref="E13">
    <cfRule type="expression" priority="3" dxfId="3">
      <formula>E13&gt;0.05</formula>
    </cfRule>
    <cfRule type="expression" priority="4" dxfId="1">
      <formula>E13&lt;-0.05</formula>
    </cfRule>
  </conditionalFormatting>
  <conditionalFormatting sqref="E17">
    <cfRule type="expression" priority="5" dxfId="3">
      <formula>E17&gt;0.05</formula>
    </cfRule>
    <cfRule type="expression" priority="6" dxfId="1">
      <formula>E17&lt;-0.05</formula>
    </cfRule>
  </conditionalFormatting>
  <conditionalFormatting sqref="E20">
    <cfRule type="expression" priority="7" dxfId="3">
      <formula>E20&gt;0.05</formula>
    </cfRule>
    <cfRule type="expression" priority="8" dxfId="1">
      <formula>E20&lt;-0.05</formula>
    </cfRule>
  </conditionalFormatting>
  <conditionalFormatting sqref="E21">
    <cfRule type="expression" priority="9" dxfId="3">
      <formula>E21&gt;0.05</formula>
    </cfRule>
    <cfRule type="expression" priority="10" dxfId="1">
      <formula>E21&lt;-0.05</formula>
    </cfRule>
  </conditionalFormatting>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999999"/>
    <outlinePr summaryBelow="1" summaryRight="1"/>
    <pageSetUpPr/>
  </sheetPr>
  <dimension ref="A1:E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6" customWidth="1" min="3" max="3"/>
    <col width="16" customWidth="1" min="4" max="4"/>
    <col width="12" customWidth="1" min="5" max="5"/>
  </cols>
  <sheetData>
    <row r="1" ht="28" customHeight="1">
      <c r="A1" s="26" t="inlineStr">
        <is>
          <t>Tikka Shack 2</t>
        </is>
      </c>
    </row>
    <row r="2">
      <c r="A2" s="27" t="inlineStr">
        <is>
          <t>Week Ending:</t>
        </is>
      </c>
      <c r="B2" s="11">
        <f>'Summary'!B2</f>
        <v/>
      </c>
    </row>
    <row r="3">
      <c r="B3" s="12" t="inlineStr">
        <is>
          <t>This Week</t>
        </is>
      </c>
      <c r="C3" s="12" t="inlineStr">
        <is>
          <t>Prior Week</t>
        </is>
      </c>
      <c r="D3" s="12" t="inlineStr">
        <is>
          <t>WoW Change</t>
        </is>
      </c>
      <c r="E3" s="12" t="inlineStr">
        <is>
          <t>WoW %</t>
        </is>
      </c>
    </row>
    <row r="4">
      <c r="A4" s="28" t="inlineStr">
        <is>
          <t>Revenue Breakdown</t>
        </is>
      </c>
    </row>
    <row r="5">
      <c r="A5" s="29" t="inlineStr">
        <is>
          <t>Square Net Sales</t>
        </is>
      </c>
      <c r="B5" s="30">
        <f>IFERROR(SUMIFS(INDEX('Square-Import'!A:Z,0,MATCH("Net Sales",'Square-Import'!1:1,0)),INDEX('Square-Import'!A:Z,0,MATCH("Location",'Square-Import'!1:1,0)),"Tikka Shack 2"),0)</f>
        <v/>
      </c>
      <c r="C5" s="30" t="n">
        <v>0</v>
      </c>
      <c r="D5" s="30">
        <f>B5-C5</f>
        <v/>
      </c>
      <c r="E5" s="31">
        <f>IF(C5&gt;0,(B5-C5)/C5,0)</f>
        <v/>
      </c>
    </row>
    <row r="6">
      <c r="A6" s="29" t="inlineStr">
        <is>
          <t>DoorDash Net Revenue</t>
        </is>
      </c>
      <c r="B6" s="30">
        <f>IFERROR(SUMIFS(INDEX('DoorDash-Import'!A:Z,0,MATCH("Net Payout",'DoorDash-Import'!1:1,0)),INDEX('DoorDash-Import'!A:Z,0,MATCH("Store Name",'DoorDash-Import'!1:1,0)),"Tikka Shack 2"),0)</f>
        <v/>
      </c>
      <c r="C6" s="30" t="n">
        <v>0</v>
      </c>
      <c r="D6" s="30">
        <f>B6-C6</f>
        <v/>
      </c>
      <c r="E6" s="31">
        <f>IF(C6&gt;0,(B6-C6)/C6,0)</f>
        <v/>
      </c>
    </row>
    <row r="7">
      <c r="A7" s="29" t="inlineStr">
        <is>
          <t>UberEats Net Revenue</t>
        </is>
      </c>
      <c r="B7" s="30">
        <f>IFERROR(SUMIFS(INDEX('UberEats-Import'!A:Z,0,MATCH("Net Payout",'UberEats-Import'!1:1,0)),INDEX('UberEats-Import'!A:Z,0,MATCH("Restaurant Name",'UberEats-Import'!1:1,0)),"Tikka Shack 2"),0)</f>
        <v/>
      </c>
      <c r="C7" s="30" t="n">
        <v>0</v>
      </c>
      <c r="D7" s="30">
        <f>B7-C7</f>
        <v/>
      </c>
      <c r="E7" s="31">
        <f>IF(C7&gt;0,(B7-C7)/C7,0)</f>
        <v/>
      </c>
    </row>
    <row r="8">
      <c r="A8" s="29" t="inlineStr">
        <is>
          <t>Grubhub Net Revenue</t>
        </is>
      </c>
      <c r="B8" s="30">
        <f>IFERROR(SUMIFS(INDEX('Grubhub-Import'!A:Z,0,MATCH("Net Payout",'Grubhub-Import'!1:1,0)),INDEX('Grubhub-Import'!A:Z,0,MATCH("Restaurant",'Grubhub-Import'!1:1,0)),"Tikka Shack 2"),0)</f>
        <v/>
      </c>
      <c r="C8" s="30" t="n">
        <v>0</v>
      </c>
      <c r="D8" s="30">
        <f>B8-C8</f>
        <v/>
      </c>
      <c r="E8" s="31">
        <f>IF(C8&gt;0,(B8-C8)/C8,0)</f>
        <v/>
      </c>
    </row>
    <row r="9">
      <c r="A9" s="32" t="inlineStr">
        <is>
          <t>Total Net Revenue</t>
        </is>
      </c>
      <c r="B9" s="33">
        <f>SUM(B5:B8)</f>
        <v/>
      </c>
      <c r="C9" s="33">
        <f>IFERROR(INDEX('Prior-Week'!A:Z,MATCH(B2-7,'Prior-Week'!A:A,0),22),0)</f>
        <v/>
      </c>
      <c r="D9" s="33">
        <f>B9-C9</f>
        <v/>
      </c>
      <c r="E9" s="34">
        <f>IF(C9&gt;0,(B9-C9)/C9,0)</f>
        <v/>
      </c>
    </row>
    <row r="10">
      <c r="A10" s="28" t="inlineStr">
        <is>
          <t>Cost Metrics</t>
        </is>
      </c>
    </row>
    <row r="11" ht="6" customHeight="1"/>
    <row r="12">
      <c r="A12" s="29" t="inlineStr">
        <is>
          <t>BEK Purchases</t>
        </is>
      </c>
      <c r="B12" s="30">
        <f>IFERROR(SUMIF(INDEX('BEK-Import'!A:Z,0,MATCH("Category",'BEK-Import'!1:1,0)),"Food",INDEX('BEK-Import'!A:Z,0,MATCH("Total",'BEK-Import'!1:1,0)))/5,IFERROR(SUMIF(INDEX('BEK-Import'!A:Z,0,MATCH("Total",'BEK-Import'!1:1,0)),"&gt;0",INDEX('BEK-Import'!A:Z,0,MATCH("Total",'BEK-Import'!1:1,0)))/5,0))</f>
        <v/>
      </c>
      <c r="C12" t="inlineStr"/>
      <c r="D12" t="inlineStr"/>
      <c r="E12" t="inlineStr"/>
    </row>
    <row r="13">
      <c r="A13" s="29" t="inlineStr">
        <is>
          <t>Purchase Cost %</t>
        </is>
      </c>
      <c r="B13" s="31">
        <f>IF(B9&gt;0,B12/B9,0)</f>
        <v/>
      </c>
      <c r="C13" s="31">
        <f>IFERROR(INDEX('Prior-Week'!A:Z,MATCH(B2-7,'Prior-Week'!A:A,0),23),0)</f>
        <v/>
      </c>
      <c r="D13" s="31">
        <f>B13-C13</f>
        <v/>
      </c>
      <c r="E13" s="31">
        <f>IF(C13&gt;0,(B13-C13)/C13,0)</f>
        <v/>
      </c>
    </row>
    <row r="14">
      <c r="A14" s="28" t="inlineStr">
        <is>
          <t>Labor</t>
        </is>
      </c>
    </row>
    <row r="15" ht="6" customHeight="1"/>
    <row r="16">
      <c r="A16" s="29" t="inlineStr">
        <is>
          <t>Est. Labor Cost (manual)</t>
        </is>
      </c>
      <c r="B16" s="35" t="n">
        <v>0</v>
      </c>
      <c r="C16" t="inlineStr"/>
      <c r="D16" t="inlineStr"/>
      <c r="E16" t="inlineStr"/>
    </row>
    <row r="17">
      <c r="A17" s="29" t="inlineStr">
        <is>
          <t>Labor Cost %</t>
        </is>
      </c>
      <c r="B17" s="31">
        <f>IF(B9&gt;0,B16/B9,0)</f>
        <v/>
      </c>
      <c r="C17" s="31">
        <f>IFERROR(INDEX('Prior-Week'!A:Z,MATCH(B2-7,'Prior-Week'!A:A,0),24),0)</f>
        <v/>
      </c>
      <c r="D17" s="31">
        <f>B17-C17</f>
        <v/>
      </c>
      <c r="E17" s="31">
        <f>IF(C17&gt;0,(B17-C17)/C17,0)</f>
        <v/>
      </c>
    </row>
    <row r="18">
      <c r="A18" s="28" t="inlineStr">
        <is>
          <t>Volume</t>
        </is>
      </c>
    </row>
    <row r="19" ht="6" customHeight="1"/>
    <row r="20">
      <c r="A20" s="29" t="inlineStr">
        <is>
          <t>Total Orders</t>
        </is>
      </c>
      <c r="B20" s="36">
        <f>IFERROR(SUMIFS(INDEX('Square-Import'!A:Z,0,MATCH("Order Count",'Square-Import'!1:1,0)),INDEX('Square-Import'!A:Z,0,MATCH("Location",'Square-Import'!1:1,0)),"Tikka Shack 2"),0)+IFERROR(SUMIFS(INDEX('DoorDash-Import'!A:Z,0,MATCH("Order Count",'DoorDash-Import'!1:1,0)),INDEX('DoorDash-Import'!A:Z,0,MATCH("Store Name",'DoorDash-Import'!1:1,0)),"Tikka Shack 2"),0)+IFERROR(SUMIFS(INDEX('UberEats-Import'!A:Z,0,MATCH("Trips",'UberEats-Import'!1:1,0)),INDEX('UberEats-Import'!A:Z,0,MATCH("Restaurant Name",'UberEats-Import'!1:1,0)),"Tikka Shack 2"),0)+IFERROR(SUMIFS(INDEX('Grubhub-Import'!A:Z,0,MATCH("Orders",'Grubhub-Import'!1:1,0)),INDEX('Grubhub-Import'!A:Z,0,MATCH("Restaurant",'Grubhub-Import'!1:1,0)),"Tikka Shack 2"),0)</f>
        <v/>
      </c>
      <c r="C20" s="36">
        <f>IFERROR(INDEX('Prior-Week'!A:Z,MATCH(B2-7,'Prior-Week'!A:A,0),25),0)</f>
        <v/>
      </c>
      <c r="D20" s="36">
        <f>B20-C20</f>
        <v/>
      </c>
      <c r="E20" s="31">
        <f>IF(C20&gt;0,(B20-C20)/C20,0)</f>
        <v/>
      </c>
    </row>
    <row r="21">
      <c r="A21" s="29" t="inlineStr">
        <is>
          <t>Avg Ticket Size</t>
        </is>
      </c>
      <c r="B21" s="37">
        <f>IF(B20&gt;0,B9/B20,0)</f>
        <v/>
      </c>
      <c r="C21" s="37">
        <f>IFERROR(INDEX('Prior-Week'!A:Z,MATCH(B2-7,'Prior-Week'!A:A,0),26),0)</f>
        <v/>
      </c>
      <c r="D21" s="37">
        <f>B21-C21</f>
        <v/>
      </c>
      <c r="E21" s="31">
        <f>IF(C21&gt;0,(B21-C21)/C21,0)</f>
        <v/>
      </c>
    </row>
    <row r="23" ht="32" customHeight="1">
      <c r="A23" s="38" t="inlineStr">
        <is>
          <t>[TS2] Labor Cost requires manual entry — enter weekly labor total in the yellow B16 cell. Phase 2 automates via Square Labor CSV import (PAY-01).</t>
        </is>
      </c>
    </row>
  </sheetData>
  <mergeCells count="6">
    <mergeCell ref="A4:E4"/>
    <mergeCell ref="A10:E10"/>
    <mergeCell ref="A1:E1"/>
    <mergeCell ref="A23:E23"/>
    <mergeCell ref="A14:E14"/>
    <mergeCell ref="A18:E18"/>
  </mergeCells>
  <conditionalFormatting sqref="E9">
    <cfRule type="expression" priority="1" dxfId="3">
      <formula>E9&gt;0.05</formula>
    </cfRule>
    <cfRule type="expression" priority="2" dxfId="1">
      <formula>E9&lt;-0.05</formula>
    </cfRule>
  </conditionalFormatting>
  <conditionalFormatting sqref="E13">
    <cfRule type="expression" priority="3" dxfId="3">
      <formula>E13&gt;0.05</formula>
    </cfRule>
    <cfRule type="expression" priority="4" dxfId="1">
      <formula>E13&lt;-0.05</formula>
    </cfRule>
  </conditionalFormatting>
  <conditionalFormatting sqref="E17">
    <cfRule type="expression" priority="5" dxfId="3">
      <formula>E17&gt;0.05</formula>
    </cfRule>
    <cfRule type="expression" priority="6" dxfId="1">
      <formula>E17&lt;-0.05</formula>
    </cfRule>
  </conditionalFormatting>
  <conditionalFormatting sqref="E20">
    <cfRule type="expression" priority="7" dxfId="3">
      <formula>E20&gt;0.05</formula>
    </cfRule>
    <cfRule type="expression" priority="8" dxfId="1">
      <formula>E20&lt;-0.05</formula>
    </cfRule>
  </conditionalFormatting>
  <conditionalFormatting sqref="E21">
    <cfRule type="expression" priority="9" dxfId="3">
      <formula>E21&gt;0.05</formula>
    </cfRule>
    <cfRule type="expression" priority="10" dxfId="1">
      <formula>E21&lt;-0.05</formula>
    </cfRule>
  </conditionalFormatting>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F4A442"/>
    <outlinePr summaryBelow="1" summaryRight="1"/>
    <pageSetUpPr/>
  </sheetPr>
  <dimension ref="A1:F2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s>
  <sheetData>
    <row r="1" ht="36" customHeight="1">
      <c r="A1" s="39" t="inlineStr">
        <is>
          <t>Weekly Report Summary</t>
        </is>
      </c>
    </row>
    <row r="2" ht="20" customHeight="1">
      <c r="A2" s="27" t="inlineStr">
        <is>
          <t>Week Ending:</t>
        </is>
      </c>
      <c r="B2" s="11" t="n"/>
    </row>
    <row r="3" ht="8" customHeight="1"/>
    <row r="4" ht="28" customHeight="1">
      <c r="A4" s="40" t="inlineStr"/>
      <c r="B4" s="40" t="inlineStr">
        <is>
          <t>Moto Medi Lubbock</t>
        </is>
      </c>
      <c r="C4" s="40" t="inlineStr">
        <is>
          <t>Moto Medi Amarillo</t>
        </is>
      </c>
      <c r="D4" s="40" t="inlineStr">
        <is>
          <t>Moto Medi 3rd</t>
        </is>
      </c>
      <c r="E4" s="40" t="inlineStr">
        <is>
          <t>Tikka Shack 1</t>
        </is>
      </c>
      <c r="F4" s="40" t="inlineStr">
        <is>
          <t>Tikka Shack 2</t>
        </is>
      </c>
    </row>
    <row r="5">
      <c r="A5" s="27" t="inlineStr">
        <is>
          <t>Net Revenue</t>
        </is>
      </c>
      <c r="B5" s="41">
        <f>'MML-Calc'!B9</f>
        <v/>
      </c>
      <c r="C5" s="41">
        <f>'MMA-Calc'!B9</f>
        <v/>
      </c>
      <c r="D5" s="41">
        <f>'MM3-Calc'!B9</f>
        <v/>
      </c>
      <c r="E5" s="42">
        <f>'TS1-Calc'!B9</f>
        <v/>
      </c>
      <c r="F5" s="42">
        <f>'TS2-Calc'!B9</f>
        <v/>
      </c>
    </row>
    <row r="6" ht="16" customHeight="1">
      <c r="A6" s="43" t="inlineStr">
        <is>
          <t xml:space="preserve">  WoW</t>
        </is>
      </c>
      <c r="B6" s="44">
        <f>'MML-Calc'!E9</f>
        <v/>
      </c>
      <c r="C6" s="44">
        <f>'MMA-Calc'!E9</f>
        <v/>
      </c>
      <c r="D6" s="44">
        <f>'MM3-Calc'!E9</f>
        <v/>
      </c>
      <c r="E6" s="45">
        <f>'TS1-Calc'!E9</f>
        <v/>
      </c>
      <c r="F6" s="45">
        <f>'TS2-Calc'!E9</f>
        <v/>
      </c>
    </row>
    <row r="7">
      <c r="A7" s="27" t="inlineStr">
        <is>
          <t>Purchase Cost %</t>
        </is>
      </c>
      <c r="B7" s="46">
        <f>'MML-Calc'!B13</f>
        <v/>
      </c>
      <c r="C7" s="46">
        <f>'MMA-Calc'!B13</f>
        <v/>
      </c>
      <c r="D7" s="46">
        <f>'MM3-Calc'!B13</f>
        <v/>
      </c>
      <c r="E7" s="47">
        <f>'TS1-Calc'!B13</f>
        <v/>
      </c>
      <c r="F7" s="47">
        <f>'TS2-Calc'!B13</f>
        <v/>
      </c>
    </row>
    <row r="8" ht="16" customHeight="1">
      <c r="A8" s="43" t="inlineStr">
        <is>
          <t xml:space="preserve">  WoW</t>
        </is>
      </c>
      <c r="B8" s="44">
        <f>'MML-Calc'!E13</f>
        <v/>
      </c>
      <c r="C8" s="44">
        <f>'MMA-Calc'!E13</f>
        <v/>
      </c>
      <c r="D8" s="44">
        <f>'MM3-Calc'!E13</f>
        <v/>
      </c>
      <c r="E8" s="45">
        <f>'TS1-Calc'!E13</f>
        <v/>
      </c>
      <c r="F8" s="45">
        <f>'TS2-Calc'!E13</f>
        <v/>
      </c>
    </row>
    <row r="9">
      <c r="A9" s="27" t="inlineStr">
        <is>
          <t>Labor Cost %</t>
        </is>
      </c>
      <c r="B9" s="46">
        <f>'MML-Calc'!B17</f>
        <v/>
      </c>
      <c r="C9" s="46">
        <f>'MMA-Calc'!B17</f>
        <v/>
      </c>
      <c r="D9" s="46">
        <f>'MM3-Calc'!B17</f>
        <v/>
      </c>
      <c r="E9" s="47">
        <f>'TS1-Calc'!B17</f>
        <v/>
      </c>
      <c r="F9" s="47">
        <f>'TS2-Calc'!B17</f>
        <v/>
      </c>
    </row>
    <row r="10" ht="16" customHeight="1">
      <c r="A10" s="43" t="inlineStr">
        <is>
          <t xml:space="preserve">  WoW</t>
        </is>
      </c>
      <c r="B10" s="44">
        <f>'MML-Calc'!E17</f>
        <v/>
      </c>
      <c r="C10" s="44">
        <f>'MMA-Calc'!E17</f>
        <v/>
      </c>
      <c r="D10" s="44">
        <f>'MM3-Calc'!E17</f>
        <v/>
      </c>
      <c r="E10" s="45">
        <f>'TS1-Calc'!E17</f>
        <v/>
      </c>
      <c r="F10" s="45">
        <f>'TS2-Calc'!E17</f>
        <v/>
      </c>
    </row>
    <row r="11">
      <c r="A11" s="27" t="inlineStr">
        <is>
          <t>Order Volume</t>
        </is>
      </c>
      <c r="B11" s="48">
        <f>'MML-Calc'!B20</f>
        <v/>
      </c>
      <c r="C11" s="48">
        <f>'MMA-Calc'!B20</f>
        <v/>
      </c>
      <c r="D11" s="48">
        <f>'MM3-Calc'!B20</f>
        <v/>
      </c>
      <c r="E11" s="49">
        <f>'TS1-Calc'!B20</f>
        <v/>
      </c>
      <c r="F11" s="49">
        <f>'TS2-Calc'!B20</f>
        <v/>
      </c>
    </row>
    <row r="12" ht="16" customHeight="1">
      <c r="A12" s="43" t="inlineStr">
        <is>
          <t xml:space="preserve">  WoW</t>
        </is>
      </c>
      <c r="B12" s="44">
        <f>'MML-Calc'!E20</f>
        <v/>
      </c>
      <c r="C12" s="44">
        <f>'MMA-Calc'!E20</f>
        <v/>
      </c>
      <c r="D12" s="44">
        <f>'MM3-Calc'!E20</f>
        <v/>
      </c>
      <c r="E12" s="45">
        <f>'TS1-Calc'!E20</f>
        <v/>
      </c>
      <c r="F12" s="45">
        <f>'TS2-Calc'!E20</f>
        <v/>
      </c>
    </row>
    <row r="13">
      <c r="A13" s="27" t="inlineStr">
        <is>
          <t>Avg Ticket</t>
        </is>
      </c>
      <c r="B13" s="50">
        <f>'MML-Calc'!B21</f>
        <v/>
      </c>
      <c r="C13" s="50">
        <f>'MMA-Calc'!B21</f>
        <v/>
      </c>
      <c r="D13" s="50">
        <f>'MM3-Calc'!B21</f>
        <v/>
      </c>
      <c r="E13" s="51">
        <f>'TS1-Calc'!B21</f>
        <v/>
      </c>
      <c r="F13" s="51">
        <f>'TS2-Calc'!B21</f>
        <v/>
      </c>
    </row>
    <row r="14" ht="16" customHeight="1">
      <c r="A14" s="43" t="inlineStr">
        <is>
          <t xml:space="preserve">  WoW</t>
        </is>
      </c>
      <c r="B14" s="44">
        <f>'MML-Calc'!E21</f>
        <v/>
      </c>
      <c r="C14" s="44">
        <f>'MMA-Calc'!E21</f>
        <v/>
      </c>
      <c r="D14" s="44">
        <f>'MM3-Calc'!E21</f>
        <v/>
      </c>
      <c r="E14" s="45">
        <f>'TS1-Calc'!E21</f>
        <v/>
      </c>
      <c r="F14" s="45">
        <f>'TS2-Calc'!E21</f>
        <v/>
      </c>
    </row>
    <row r="15" ht="8" customHeight="1"/>
    <row r="16" ht="8" customHeight="1"/>
    <row r="17">
      <c r="A17" s="28" t="inlineStr">
        <is>
          <t>Notes</t>
        </is>
      </c>
    </row>
    <row r="18" ht="30" customHeight="1">
      <c r="A18" s="52" t="inlineStr">
        <is>
          <t>Purchase Cost % = BEK food purchases (company-wide, divided by 5 locations) / net revenue. Not true COGS — does not include inventory variance or waste.</t>
        </is>
      </c>
    </row>
    <row r="19" ht="30" customHeight="1">
      <c r="A19" s="52" t="inlineStr">
        <is>
          <t>Labor Cost % is estimated from manual entry in each Location Calc tab. Phase 2 automates this via Square Labor CSV import.</t>
        </is>
      </c>
    </row>
    <row r="20" ht="30" customHeight="1">
      <c r="A20" s="52" t="inlineStr">
        <is>
          <t>All delivery revenue (DoorDash, UberEats, Grubhub) uses net payout after platform fees/commissions.</t>
        </is>
      </c>
    </row>
  </sheetData>
  <mergeCells count="5">
    <mergeCell ref="A19:F19"/>
    <mergeCell ref="A1:F1"/>
    <mergeCell ref="A17:F17"/>
    <mergeCell ref="A18:F18"/>
    <mergeCell ref="A20:F20"/>
  </mergeCells>
  <conditionalFormatting sqref="B6">
    <cfRule type="expression" priority="1" dxfId="4">
      <formula>'MML-Calc'!E9&gt;0.05</formula>
    </cfRule>
    <cfRule type="expression" priority="2" dxfId="5">
      <formula>'MML-Calc'!E9&lt;-0.05</formula>
    </cfRule>
  </conditionalFormatting>
  <conditionalFormatting sqref="C6">
    <cfRule type="expression" priority="3" dxfId="4">
      <formula>'MMA-Calc'!E9&gt;0.05</formula>
    </cfRule>
    <cfRule type="expression" priority="4" dxfId="5">
      <formula>'MMA-Calc'!E9&lt;-0.05</formula>
    </cfRule>
  </conditionalFormatting>
  <conditionalFormatting sqref="D6">
    <cfRule type="expression" priority="5" dxfId="4">
      <formula>'MM3-Calc'!E9&gt;0.05</formula>
    </cfRule>
    <cfRule type="expression" priority="6" dxfId="5">
      <formula>'MM3-Calc'!E9&lt;-0.05</formula>
    </cfRule>
  </conditionalFormatting>
  <conditionalFormatting sqref="E6">
    <cfRule type="expression" priority="7" dxfId="4">
      <formula>'TS1-Calc'!E9&gt;0.05</formula>
    </cfRule>
    <cfRule type="expression" priority="8" dxfId="5">
      <formula>'TS1-Calc'!E9&lt;-0.05</formula>
    </cfRule>
  </conditionalFormatting>
  <conditionalFormatting sqref="F6">
    <cfRule type="expression" priority="9" dxfId="4">
      <formula>'TS2-Calc'!E9&gt;0.05</formula>
    </cfRule>
    <cfRule type="expression" priority="10" dxfId="5">
      <formula>'TS2-Calc'!E9&lt;-0.05</formula>
    </cfRule>
  </conditionalFormatting>
  <conditionalFormatting sqref="B8">
    <cfRule type="expression" priority="11" dxfId="4">
      <formula>'MML-Calc'!E13&gt;0.05</formula>
    </cfRule>
    <cfRule type="expression" priority="12" dxfId="5">
      <formula>'MML-Calc'!E13&lt;-0.05</formula>
    </cfRule>
  </conditionalFormatting>
  <conditionalFormatting sqref="C8">
    <cfRule type="expression" priority="13" dxfId="4">
      <formula>'MMA-Calc'!E13&gt;0.05</formula>
    </cfRule>
    <cfRule type="expression" priority="14" dxfId="5">
      <formula>'MMA-Calc'!E13&lt;-0.05</formula>
    </cfRule>
  </conditionalFormatting>
  <conditionalFormatting sqref="D8">
    <cfRule type="expression" priority="15" dxfId="4">
      <formula>'MM3-Calc'!E13&gt;0.05</formula>
    </cfRule>
    <cfRule type="expression" priority="16" dxfId="5">
      <formula>'MM3-Calc'!E13&lt;-0.05</formula>
    </cfRule>
  </conditionalFormatting>
  <conditionalFormatting sqref="E8">
    <cfRule type="expression" priority="17" dxfId="4">
      <formula>'TS1-Calc'!E13&gt;0.05</formula>
    </cfRule>
    <cfRule type="expression" priority="18" dxfId="5">
      <formula>'TS1-Calc'!E13&lt;-0.05</formula>
    </cfRule>
  </conditionalFormatting>
  <conditionalFormatting sqref="F8">
    <cfRule type="expression" priority="19" dxfId="4">
      <formula>'TS2-Calc'!E13&gt;0.05</formula>
    </cfRule>
    <cfRule type="expression" priority="20" dxfId="5">
      <formula>'TS2-Calc'!E13&lt;-0.05</formula>
    </cfRule>
  </conditionalFormatting>
  <conditionalFormatting sqref="B10">
    <cfRule type="expression" priority="21" dxfId="4">
      <formula>'MML-Calc'!E17&gt;0.05</formula>
    </cfRule>
    <cfRule type="expression" priority="22" dxfId="5">
      <formula>'MML-Calc'!E17&lt;-0.05</formula>
    </cfRule>
  </conditionalFormatting>
  <conditionalFormatting sqref="C10">
    <cfRule type="expression" priority="23" dxfId="4">
      <formula>'MMA-Calc'!E17&gt;0.05</formula>
    </cfRule>
    <cfRule type="expression" priority="24" dxfId="5">
      <formula>'MMA-Calc'!E17&lt;-0.05</formula>
    </cfRule>
  </conditionalFormatting>
  <conditionalFormatting sqref="D10">
    <cfRule type="expression" priority="25" dxfId="4">
      <formula>'MM3-Calc'!E17&gt;0.05</formula>
    </cfRule>
    <cfRule type="expression" priority="26" dxfId="5">
      <formula>'MM3-Calc'!E17&lt;-0.05</formula>
    </cfRule>
  </conditionalFormatting>
  <conditionalFormatting sqref="E10">
    <cfRule type="expression" priority="27" dxfId="4">
      <formula>'TS1-Calc'!E17&gt;0.05</formula>
    </cfRule>
    <cfRule type="expression" priority="28" dxfId="5">
      <formula>'TS1-Calc'!E17&lt;-0.05</formula>
    </cfRule>
  </conditionalFormatting>
  <conditionalFormatting sqref="F10">
    <cfRule type="expression" priority="29" dxfId="4">
      <formula>'TS2-Calc'!E17&gt;0.05</formula>
    </cfRule>
    <cfRule type="expression" priority="30" dxfId="5">
      <formula>'TS2-Calc'!E17&lt;-0.05</formula>
    </cfRule>
  </conditionalFormatting>
  <conditionalFormatting sqref="B12">
    <cfRule type="expression" priority="31" dxfId="4">
      <formula>'MML-Calc'!E20&gt;0.05</formula>
    </cfRule>
    <cfRule type="expression" priority="32" dxfId="5">
      <formula>'MML-Calc'!E20&lt;-0.05</formula>
    </cfRule>
  </conditionalFormatting>
  <conditionalFormatting sqref="C12">
    <cfRule type="expression" priority="33" dxfId="4">
      <formula>'MMA-Calc'!E20&gt;0.05</formula>
    </cfRule>
    <cfRule type="expression" priority="34" dxfId="5">
      <formula>'MMA-Calc'!E20&lt;-0.05</formula>
    </cfRule>
  </conditionalFormatting>
  <conditionalFormatting sqref="D12">
    <cfRule type="expression" priority="35" dxfId="4">
      <formula>'MM3-Calc'!E20&gt;0.05</formula>
    </cfRule>
    <cfRule type="expression" priority="36" dxfId="5">
      <formula>'MM3-Calc'!E20&lt;-0.05</formula>
    </cfRule>
  </conditionalFormatting>
  <conditionalFormatting sqref="E12">
    <cfRule type="expression" priority="37" dxfId="4">
      <formula>'TS1-Calc'!E20&gt;0.05</formula>
    </cfRule>
    <cfRule type="expression" priority="38" dxfId="5">
      <formula>'TS1-Calc'!E20&lt;-0.05</formula>
    </cfRule>
  </conditionalFormatting>
  <conditionalFormatting sqref="F12">
    <cfRule type="expression" priority="39" dxfId="4">
      <formula>'TS2-Calc'!E20&gt;0.05</formula>
    </cfRule>
    <cfRule type="expression" priority="40" dxfId="5">
      <formula>'TS2-Calc'!E20&lt;-0.05</formula>
    </cfRule>
  </conditionalFormatting>
  <conditionalFormatting sqref="B14">
    <cfRule type="expression" priority="41" dxfId="4">
      <formula>'MML-Calc'!E21&gt;0.05</formula>
    </cfRule>
    <cfRule type="expression" priority="42" dxfId="5">
      <formula>'MML-Calc'!E21&lt;-0.05</formula>
    </cfRule>
  </conditionalFormatting>
  <conditionalFormatting sqref="C14">
    <cfRule type="expression" priority="43" dxfId="4">
      <formula>'MMA-Calc'!E21&gt;0.05</formula>
    </cfRule>
    <cfRule type="expression" priority="44" dxfId="5">
      <formula>'MMA-Calc'!E21&lt;-0.05</formula>
    </cfRule>
  </conditionalFormatting>
  <conditionalFormatting sqref="D14">
    <cfRule type="expression" priority="45" dxfId="4">
      <formula>'MM3-Calc'!E21&gt;0.05</formula>
    </cfRule>
    <cfRule type="expression" priority="46" dxfId="5">
      <formula>'MM3-Calc'!E21&lt;-0.05</formula>
    </cfRule>
  </conditionalFormatting>
  <conditionalFormatting sqref="E14">
    <cfRule type="expression" priority="47" dxfId="4">
      <formula>'TS1-Calc'!E21&gt;0.05</formula>
    </cfRule>
    <cfRule type="expression" priority="48" dxfId="5">
      <formula>'TS1-Calc'!E21&lt;-0.05</formula>
    </cfRule>
  </conditionalFormatting>
  <conditionalFormatting sqref="F14">
    <cfRule type="expression" priority="49" dxfId="4">
      <formula>'TS2-Calc'!E21&gt;0.05</formula>
    </cfRule>
    <cfRule type="expression" priority="50" dxfId="5">
      <formula>'TS2-Calc'!E21&lt;-0.05</formula>
    </cfRule>
  </conditionalFormatting>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4A86C8"/>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10" customWidth="1" min="1" max="1"/>
    <col width="17" customWidth="1" min="2" max="2"/>
    <col width="12" customWidth="1" min="3" max="3"/>
    <col width="12" customWidth="1" min="4" max="4"/>
    <col width="13" customWidth="1" min="5" max="5"/>
    <col width="17" customWidth="1" min="6" max="6"/>
    <col width="18" customWidth="1" min="7" max="7"/>
    <col width="15" customWidth="1" min="8" max="8"/>
  </cols>
  <sheetData>
    <row r="1" ht="20" customHeight="1">
      <c r="A1" s="4" t="inlineStr">
        <is>
          <t>PLACEHOLDER HEADERS — Update row 2 to match your actual Square Labor CSV export column names exactly.</t>
        </is>
      </c>
    </row>
    <row r="2">
      <c r="A2" s="5" t="inlineStr">
        <is>
          <t>Date</t>
        </is>
      </c>
      <c r="B2" s="5" t="inlineStr">
        <is>
          <t>Employee Name</t>
        </is>
      </c>
      <c r="C2" s="5" t="inlineStr">
        <is>
          <t>Location</t>
        </is>
      </c>
      <c r="D2" s="5" t="inlineStr">
        <is>
          <t>Clock In</t>
        </is>
      </c>
      <c r="E2" s="5" t="inlineStr">
        <is>
          <t>Clock Out</t>
        </is>
      </c>
      <c r="F2" s="5" t="inlineStr">
        <is>
          <t>Regular Hours</t>
        </is>
      </c>
      <c r="G2" s="5" t="inlineStr">
        <is>
          <t>Overtime Hours</t>
        </is>
      </c>
      <c r="H2" s="5" t="inlineStr">
        <is>
          <t>Total Hours</t>
        </is>
      </c>
    </row>
    <row r="3" ht="22" customHeight="1">
      <c r="A3" s="6" t="inlineStr">
        <is>
          <t>[Date — text/date]</t>
        </is>
      </c>
      <c r="B3" s="7">
        <f>IF(ISTEXT(INDEX(Labor-Import!A:Z,4,MATCH("Employee Name",Labor-Import!2:2,0))),"OK","CHECK - Employee Name should be text")</f>
        <v/>
      </c>
      <c r="C3" s="7">
        <f>IF(ISTEXT(INDEX(Labor-Import!A:Z,4,MATCH("Location",Labor-Import!2:2,0))),"OK","CHECK - Location should be text")</f>
        <v/>
      </c>
      <c r="D3" s="6" t="inlineStr">
        <is>
          <t>[Clock In — text/date]</t>
        </is>
      </c>
      <c r="E3" s="6" t="inlineStr">
        <is>
          <t>[Clock Out — text/date]</t>
        </is>
      </c>
      <c r="F3" s="7">
        <f>IF(ISNUMBER(INDEX(Labor-Import!A:Z,4,MATCH("Regular Hours",Labor-Import!2:2,0))),"OK","PASTE ERROR - Regular Hours is not a number")</f>
        <v/>
      </c>
      <c r="G3" s="7">
        <f>IF(ISNUMBER(INDEX(Labor-Import!A:Z,4,MATCH("Overtime Hours",Labor-Import!2:2,0))),"OK","PASTE ERROR - Overtime Hours is not a number")</f>
        <v/>
      </c>
      <c r="H3" s="7">
        <f>IF(ISNUMBER(INDEX(Labor-Import!A:Z,4,MATCH("Total Hours",Labor-Import!2:2,0))),"OK","PASTE ERROR - Total Hours is not a number")</f>
        <v/>
      </c>
    </row>
    <row r="4">
      <c r="A4" s="8" t="inlineStr">
        <is>
          <t>2026-03-09</t>
        </is>
      </c>
      <c r="B4" s="8" t="inlineStr">
        <is>
          <t>Marcus Johnson</t>
        </is>
      </c>
      <c r="C4" s="8" t="inlineStr">
        <is>
          <t>Moto Medi Lubbock</t>
        </is>
      </c>
      <c r="D4" s="8" t="inlineStr">
        <is>
          <t>08:00</t>
        </is>
      </c>
      <c r="E4" s="8" t="inlineStr">
        <is>
          <t>16:00</t>
        </is>
      </c>
      <c r="F4" s="8" t="n">
        <v>8</v>
      </c>
      <c r="G4" s="8" t="n">
        <v>0</v>
      </c>
      <c r="H4" s="8" t="n">
        <v>8</v>
      </c>
    </row>
    <row r="5">
      <c r="A5" s="9" t="inlineStr">
        <is>
          <t>2026-03-09</t>
        </is>
      </c>
      <c r="B5" s="9" t="inlineStr">
        <is>
          <t>Ashley Torres</t>
        </is>
      </c>
      <c r="C5" s="9" t="inlineStr">
        <is>
          <t>Moto Medi Lubbock</t>
        </is>
      </c>
      <c r="D5" s="9" t="inlineStr">
        <is>
          <t>10:00</t>
        </is>
      </c>
      <c r="E5" s="9" t="inlineStr">
        <is>
          <t>18:00</t>
        </is>
      </c>
      <c r="F5" s="9" t="n">
        <v>8</v>
      </c>
      <c r="G5" s="9" t="n">
        <v>0</v>
      </c>
      <c r="H5" s="9" t="n">
        <v>8</v>
      </c>
    </row>
    <row r="6">
      <c r="A6" s="8" t="inlineStr">
        <is>
          <t>2026-03-09</t>
        </is>
      </c>
      <c r="B6" s="8" t="inlineStr">
        <is>
          <t>Devon Scott</t>
        </is>
      </c>
      <c r="C6" s="8" t="inlineStr">
        <is>
          <t>Moto Medi Lubbock</t>
        </is>
      </c>
      <c r="D6" s="8" t="inlineStr">
        <is>
          <t>14:00</t>
        </is>
      </c>
      <c r="E6" s="8" t="inlineStr">
        <is>
          <t>18:00</t>
        </is>
      </c>
      <c r="F6" s="8" t="n">
        <v>4</v>
      </c>
      <c r="G6" s="8" t="n">
        <v>0</v>
      </c>
      <c r="H6" s="8" t="n">
        <v>4</v>
      </c>
    </row>
    <row r="7">
      <c r="A7" s="9" t="inlineStr">
        <is>
          <t>2026-03-09</t>
        </is>
      </c>
      <c r="B7" s="9" t="inlineStr">
        <is>
          <t>Robert Kim</t>
        </is>
      </c>
      <c r="C7" s="9" t="inlineStr">
        <is>
          <t>Moto Medi Amarillo</t>
        </is>
      </c>
      <c r="D7" s="9" t="inlineStr">
        <is>
          <t>09:00</t>
        </is>
      </c>
      <c r="E7" s="9" t="inlineStr">
        <is>
          <t>17:00</t>
        </is>
      </c>
      <c r="F7" s="9" t="n">
        <v>8</v>
      </c>
      <c r="G7" s="9" t="n">
        <v>0</v>
      </c>
      <c r="H7" s="9" t="n">
        <v>8</v>
      </c>
    </row>
    <row r="8">
      <c r="A8" s="8" t="inlineStr">
        <is>
          <t>2026-03-09</t>
        </is>
      </c>
      <c r="B8" s="8" t="inlineStr">
        <is>
          <t>Destiny Williams</t>
        </is>
      </c>
      <c r="C8" s="8" t="inlineStr">
        <is>
          <t>Moto Medi Amarillo</t>
        </is>
      </c>
      <c r="D8" s="8" t="inlineStr">
        <is>
          <t>11:00</t>
        </is>
      </c>
      <c r="E8" s="8" t="inlineStr">
        <is>
          <t>19:00</t>
        </is>
      </c>
      <c r="F8" s="8" t="n">
        <v>8</v>
      </c>
      <c r="G8" s="8" t="n">
        <v>0</v>
      </c>
      <c r="H8" s="8" t="n">
        <v>8</v>
      </c>
    </row>
    <row r="9">
      <c r="A9" s="9" t="inlineStr">
        <is>
          <t>2026-03-09</t>
        </is>
      </c>
      <c r="B9" s="9" t="inlineStr">
        <is>
          <t>Jake Hernandez</t>
        </is>
      </c>
      <c r="C9" s="9" t="inlineStr">
        <is>
          <t>Moto Medi 3rd</t>
        </is>
      </c>
      <c r="D9" s="9" t="inlineStr">
        <is>
          <t>08:00</t>
        </is>
      </c>
      <c r="E9" s="9" t="inlineStr">
        <is>
          <t>16:00</t>
        </is>
      </c>
      <c r="F9" s="9" t="n">
        <v>8</v>
      </c>
      <c r="G9" s="9" t="n">
        <v>0</v>
      </c>
      <c r="H9" s="9" t="n">
        <v>8</v>
      </c>
    </row>
    <row r="10">
      <c r="A10" s="8" t="inlineStr">
        <is>
          <t>2026-03-09</t>
        </is>
      </c>
      <c r="B10" s="8" t="inlineStr">
        <is>
          <t>Priya Patel</t>
        </is>
      </c>
      <c r="C10" s="8" t="inlineStr">
        <is>
          <t>Tikka Shack 1</t>
        </is>
      </c>
      <c r="D10" s="8" t="inlineStr">
        <is>
          <t>09:00</t>
        </is>
      </c>
      <c r="E10" s="8" t="inlineStr">
        <is>
          <t>17:00</t>
        </is>
      </c>
      <c r="F10" s="8" t="n">
        <v>8</v>
      </c>
      <c r="G10" s="8" t="n">
        <v>0</v>
      </c>
      <c r="H10" s="8" t="n">
        <v>8</v>
      </c>
    </row>
    <row r="11">
      <c r="A11" s="9" t="inlineStr">
        <is>
          <t>2026-03-09</t>
        </is>
      </c>
      <c r="B11" s="9" t="inlineStr">
        <is>
          <t>Carlos Rivera</t>
        </is>
      </c>
      <c r="C11" s="9" t="inlineStr">
        <is>
          <t>Tikka Shack 1</t>
        </is>
      </c>
      <c r="D11" s="9" t="inlineStr">
        <is>
          <t>12:00</t>
        </is>
      </c>
      <c r="E11" s="9" t="inlineStr">
        <is>
          <t>20:00</t>
        </is>
      </c>
      <c r="F11" s="9" t="n">
        <v>8</v>
      </c>
      <c r="G11" s="9" t="n">
        <v>0</v>
      </c>
      <c r="H11" s="9" t="n">
        <v>8</v>
      </c>
    </row>
    <row r="12">
      <c r="A12" s="8" t="inlineStr">
        <is>
          <t>2026-03-09</t>
        </is>
      </c>
      <c r="B12" s="8" t="inlineStr">
        <is>
          <t>Keisha Brown</t>
        </is>
      </c>
      <c r="C12" s="8" t="inlineStr">
        <is>
          <t>Tikka Shack 2</t>
        </is>
      </c>
      <c r="D12" s="8" t="inlineStr">
        <is>
          <t>10:00</t>
        </is>
      </c>
      <c r="E12" s="8" t="inlineStr">
        <is>
          <t>18:00</t>
        </is>
      </c>
      <c r="F12" s="8" t="n">
        <v>8</v>
      </c>
      <c r="G12" s="8" t="n">
        <v>0</v>
      </c>
      <c r="H12" s="8" t="n">
        <v>8</v>
      </c>
    </row>
    <row r="13">
      <c r="A13" s="9" t="inlineStr">
        <is>
          <t>2026-03-09</t>
        </is>
      </c>
      <c r="B13" s="9" t="inlineStr">
        <is>
          <t>Jasmine Lee</t>
        </is>
      </c>
      <c r="C13" s="9" t="inlineStr">
        <is>
          <t>Tikka Shack 2</t>
        </is>
      </c>
      <c r="D13" s="9" t="inlineStr">
        <is>
          <t>14:00</t>
        </is>
      </c>
      <c r="E13" s="9" t="inlineStr">
        <is>
          <t>18:00</t>
        </is>
      </c>
      <c r="F13" s="9" t="n">
        <v>4</v>
      </c>
      <c r="G13" s="9" t="n">
        <v>0</v>
      </c>
      <c r="H13" s="9" t="n">
        <v>4</v>
      </c>
    </row>
    <row r="14">
      <c r="A14" s="8" t="inlineStr">
        <is>
          <t>2026-03-10</t>
        </is>
      </c>
      <c r="B14" s="8" t="inlineStr">
        <is>
          <t>Marcus Johnson</t>
        </is>
      </c>
      <c r="C14" s="8" t="inlineStr">
        <is>
          <t>Moto Medi Lubbock</t>
        </is>
      </c>
      <c r="D14" s="8" t="inlineStr">
        <is>
          <t>08:00</t>
        </is>
      </c>
      <c r="E14" s="8" t="inlineStr">
        <is>
          <t>16:00</t>
        </is>
      </c>
      <c r="F14" s="8" t="n">
        <v>8</v>
      </c>
      <c r="G14" s="8" t="n">
        <v>0</v>
      </c>
      <c r="H14" s="8" t="n">
        <v>8</v>
      </c>
    </row>
    <row r="15">
      <c r="A15" s="9" t="inlineStr">
        <is>
          <t>2026-03-10</t>
        </is>
      </c>
      <c r="B15" s="9" t="inlineStr">
        <is>
          <t>Marcus Johnson</t>
        </is>
      </c>
      <c r="C15" s="9" t="inlineStr">
        <is>
          <t>Moto Medi Amarillo</t>
        </is>
      </c>
      <c r="D15" s="9" t="inlineStr">
        <is>
          <t>17:00</t>
        </is>
      </c>
      <c r="E15" s="9" t="inlineStr">
        <is>
          <t>20:00</t>
        </is>
      </c>
      <c r="F15" s="9" t="n">
        <v>3</v>
      </c>
      <c r="G15" s="9" t="n">
        <v>0</v>
      </c>
      <c r="H15" s="9" t="n">
        <v>3</v>
      </c>
    </row>
    <row r="16">
      <c r="A16" s="8" t="inlineStr">
        <is>
          <t>2026-03-10</t>
        </is>
      </c>
      <c r="B16" s="8" t="inlineStr">
        <is>
          <t>Ashley Torres</t>
        </is>
      </c>
      <c r="C16" s="8" t="inlineStr">
        <is>
          <t>Moto Medi Lubbock</t>
        </is>
      </c>
      <c r="D16" s="8" t="inlineStr">
        <is>
          <t>10:00</t>
        </is>
      </c>
      <c r="E16" s="8" t="inlineStr">
        <is>
          <t>18:00</t>
        </is>
      </c>
      <c r="F16" s="8" t="n">
        <v>8</v>
      </c>
      <c r="G16" s="8" t="n">
        <v>0</v>
      </c>
      <c r="H16" s="8" t="n">
        <v>8</v>
      </c>
    </row>
    <row r="17">
      <c r="A17" s="9" t="inlineStr">
        <is>
          <t>2026-03-10</t>
        </is>
      </c>
      <c r="B17" s="9" t="inlineStr">
        <is>
          <t>Devon Scott</t>
        </is>
      </c>
      <c r="C17" s="9" t="inlineStr">
        <is>
          <t>Moto Medi Lubbock</t>
        </is>
      </c>
      <c r="D17" s="9" t="inlineStr">
        <is>
          <t>14:00</t>
        </is>
      </c>
      <c r="E17" s="9" t="inlineStr">
        <is>
          <t>18:00</t>
        </is>
      </c>
      <c r="F17" s="9" t="n">
        <v>4</v>
      </c>
      <c r="G17" s="9" t="n">
        <v>0</v>
      </c>
      <c r="H17" s="9" t="n">
        <v>4</v>
      </c>
    </row>
    <row r="18">
      <c r="A18" s="8" t="inlineStr">
        <is>
          <t>2026-03-10</t>
        </is>
      </c>
      <c r="B18" s="8" t="inlineStr">
        <is>
          <t>Robert Kim</t>
        </is>
      </c>
      <c r="C18" s="8" t="inlineStr">
        <is>
          <t>Moto Medi Amarillo</t>
        </is>
      </c>
      <c r="D18" s="8" t="inlineStr">
        <is>
          <t>09:00</t>
        </is>
      </c>
      <c r="E18" s="8" t="inlineStr">
        <is>
          <t>17:00</t>
        </is>
      </c>
      <c r="F18" s="8" t="n">
        <v>8</v>
      </c>
      <c r="G18" s="8" t="n">
        <v>0</v>
      </c>
      <c r="H18" s="8" t="n">
        <v>8</v>
      </c>
    </row>
    <row r="19">
      <c r="A19" s="9" t="inlineStr">
        <is>
          <t>2026-03-10</t>
        </is>
      </c>
      <c r="B19" s="9" t="inlineStr">
        <is>
          <t>Destiny Williams</t>
        </is>
      </c>
      <c r="C19" s="9" t="inlineStr">
        <is>
          <t>Moto Medi Amarillo</t>
        </is>
      </c>
      <c r="D19" s="9" t="inlineStr">
        <is>
          <t>11:00</t>
        </is>
      </c>
      <c r="E19" s="9" t="inlineStr">
        <is>
          <t>19:00</t>
        </is>
      </c>
      <c r="F19" s="9" t="n">
        <v>8</v>
      </c>
      <c r="G19" s="9" t="n">
        <v>0</v>
      </c>
      <c r="H19" s="9" t="n">
        <v>8</v>
      </c>
    </row>
    <row r="20">
      <c r="A20" s="8" t="inlineStr">
        <is>
          <t>2026-03-10</t>
        </is>
      </c>
      <c r="B20" s="8" t="inlineStr">
        <is>
          <t>Jake Hernandez</t>
        </is>
      </c>
      <c r="C20" s="8" t="inlineStr">
        <is>
          <t>Moto Medi 3rd</t>
        </is>
      </c>
      <c r="D20" s="8" t="inlineStr">
        <is>
          <t>08:00</t>
        </is>
      </c>
      <c r="E20" s="8" t="inlineStr">
        <is>
          <t>16:00</t>
        </is>
      </c>
      <c r="F20" s="8" t="n">
        <v>8</v>
      </c>
      <c r="G20" s="8" t="n">
        <v>0</v>
      </c>
      <c r="H20" s="8" t="n">
        <v>8</v>
      </c>
    </row>
    <row r="21">
      <c r="A21" s="9" t="inlineStr">
        <is>
          <t>2026-03-10</t>
        </is>
      </c>
      <c r="B21" s="9" t="inlineStr">
        <is>
          <t>Priya Patel</t>
        </is>
      </c>
      <c r="C21" s="9" t="inlineStr">
        <is>
          <t>Tikka Shack 1</t>
        </is>
      </c>
      <c r="D21" s="9" t="inlineStr">
        <is>
          <t>09:00</t>
        </is>
      </c>
      <c r="E21" s="9" t="inlineStr">
        <is>
          <t>17:30</t>
        </is>
      </c>
      <c r="F21" s="9" t="n">
        <v>8</v>
      </c>
      <c r="G21" s="9" t="n">
        <v>0.5</v>
      </c>
      <c r="H21" s="9" t="n">
        <v>8.5</v>
      </c>
    </row>
    <row r="22">
      <c r="A22" s="8" t="inlineStr">
        <is>
          <t>2026-03-10</t>
        </is>
      </c>
      <c r="B22" s="8" t="inlineStr">
        <is>
          <t>Carlos Rivera</t>
        </is>
      </c>
      <c r="C22" s="8" t="inlineStr">
        <is>
          <t>Tikka Shack 1</t>
        </is>
      </c>
      <c r="D22" s="8" t="inlineStr">
        <is>
          <t>12:00</t>
        </is>
      </c>
      <c r="E22" s="8" t="inlineStr">
        <is>
          <t>20:00</t>
        </is>
      </c>
      <c r="F22" s="8" t="n">
        <v>8</v>
      </c>
      <c r="G22" s="8" t="n">
        <v>0</v>
      </c>
      <c r="H22" s="8" t="n">
        <v>8</v>
      </c>
    </row>
    <row r="23">
      <c r="A23" s="9" t="inlineStr">
        <is>
          <t>2026-03-10</t>
        </is>
      </c>
      <c r="B23" s="9" t="inlineStr">
        <is>
          <t>Keisha Brown</t>
        </is>
      </c>
      <c r="C23" s="9" t="inlineStr">
        <is>
          <t>Tikka Shack 2</t>
        </is>
      </c>
      <c r="D23" s="9" t="inlineStr">
        <is>
          <t>10:00</t>
        </is>
      </c>
      <c r="E23" s="9" t="inlineStr">
        <is>
          <t>18:00</t>
        </is>
      </c>
      <c r="F23" s="9" t="n">
        <v>8</v>
      </c>
      <c r="G23" s="9" t="n">
        <v>0</v>
      </c>
      <c r="H23" s="9" t="n">
        <v>8</v>
      </c>
    </row>
    <row r="24">
      <c r="A24" s="8" t="inlineStr">
        <is>
          <t>2026-03-11</t>
        </is>
      </c>
      <c r="B24" s="8" t="inlineStr">
        <is>
          <t>Marcus Johnson</t>
        </is>
      </c>
      <c r="C24" s="8" t="inlineStr">
        <is>
          <t>Moto Medi Lubbock</t>
        </is>
      </c>
      <c r="D24" s="8" t="inlineStr">
        <is>
          <t>08:00</t>
        </is>
      </c>
      <c r="E24" s="8" t="inlineStr">
        <is>
          <t>16:00</t>
        </is>
      </c>
      <c r="F24" s="8" t="n">
        <v>8</v>
      </c>
      <c r="G24" s="8" t="n">
        <v>0</v>
      </c>
      <c r="H24" s="8" t="n">
        <v>8</v>
      </c>
    </row>
    <row r="25">
      <c r="A25" s="9" t="inlineStr">
        <is>
          <t>2026-03-11</t>
        </is>
      </c>
      <c r="B25" s="9" t="inlineStr">
        <is>
          <t>Ashley Torres</t>
        </is>
      </c>
      <c r="C25" s="9" t="inlineStr">
        <is>
          <t>Moto Medi Lubbock</t>
        </is>
      </c>
      <c r="D25" s="9" t="inlineStr">
        <is>
          <t>10:00</t>
        </is>
      </c>
      <c r="E25" s="9" t="inlineStr">
        <is>
          <t>18:00</t>
        </is>
      </c>
      <c r="F25" s="9" t="n">
        <v>8</v>
      </c>
      <c r="G25" s="9" t="n">
        <v>0</v>
      </c>
      <c r="H25" s="9" t="n">
        <v>8</v>
      </c>
    </row>
    <row r="26">
      <c r="A26" s="8" t="inlineStr">
        <is>
          <t>2026-03-11</t>
        </is>
      </c>
      <c r="B26" s="8" t="inlineStr">
        <is>
          <t>Robert Kim</t>
        </is>
      </c>
      <c r="C26" s="8" t="inlineStr">
        <is>
          <t>Moto Medi Amarillo</t>
        </is>
      </c>
      <c r="D26" s="8" t="inlineStr">
        <is>
          <t>09:00</t>
        </is>
      </c>
      <c r="E26" s="8" t="inlineStr">
        <is>
          <t>17:00</t>
        </is>
      </c>
      <c r="F26" s="8" t="n">
        <v>8</v>
      </c>
      <c r="G26" s="8" t="n">
        <v>0</v>
      </c>
      <c r="H26" s="8" t="n">
        <v>8</v>
      </c>
    </row>
    <row r="27">
      <c r="A27" s="9" t="inlineStr">
        <is>
          <t>2026-03-11</t>
        </is>
      </c>
      <c r="B27" s="9" t="inlineStr">
        <is>
          <t>Destiny Williams</t>
        </is>
      </c>
      <c r="C27" s="9" t="inlineStr">
        <is>
          <t>Moto Medi Amarillo</t>
        </is>
      </c>
      <c r="D27" s="9" t="inlineStr">
        <is>
          <t>11:00</t>
        </is>
      </c>
      <c r="E27" s="9" t="inlineStr">
        <is>
          <t>19:00</t>
        </is>
      </c>
      <c r="F27" s="9" t="n">
        <v>8</v>
      </c>
      <c r="G27" s="9" t="n">
        <v>0</v>
      </c>
      <c r="H27" s="9" t="n">
        <v>8</v>
      </c>
    </row>
    <row r="28">
      <c r="A28" s="8" t="inlineStr">
        <is>
          <t>2026-03-11</t>
        </is>
      </c>
      <c r="B28" s="8" t="inlineStr">
        <is>
          <t>Jake Hernandez</t>
        </is>
      </c>
      <c r="C28" s="8" t="inlineStr">
        <is>
          <t>Moto Medi 3rd</t>
        </is>
      </c>
      <c r="D28" s="8" t="inlineStr">
        <is>
          <t>08:00</t>
        </is>
      </c>
      <c r="E28" s="8" t="inlineStr">
        <is>
          <t>16:30</t>
        </is>
      </c>
      <c r="F28" s="8" t="n">
        <v>8</v>
      </c>
      <c r="G28" s="8" t="n">
        <v>0.5</v>
      </c>
      <c r="H28" s="8" t="n">
        <v>8.5</v>
      </c>
    </row>
    <row r="29">
      <c r="A29" s="9" t="inlineStr">
        <is>
          <t>2026-03-11</t>
        </is>
      </c>
      <c r="B29" s="9" t="inlineStr">
        <is>
          <t>Priya Patel</t>
        </is>
      </c>
      <c r="C29" s="9" t="inlineStr">
        <is>
          <t>Tikka Shack 1</t>
        </is>
      </c>
      <c r="D29" s="9" t="inlineStr">
        <is>
          <t>09:00</t>
        </is>
      </c>
      <c r="E29" s="9" t="inlineStr">
        <is>
          <t>17:00</t>
        </is>
      </c>
      <c r="F29" s="9" t="n">
        <v>8</v>
      </c>
      <c r="G29" s="9" t="n">
        <v>0</v>
      </c>
      <c r="H29" s="9" t="n">
        <v>8</v>
      </c>
    </row>
    <row r="30">
      <c r="A30" s="8" t="inlineStr">
        <is>
          <t>2026-03-11</t>
        </is>
      </c>
      <c r="B30" s="8" t="inlineStr">
        <is>
          <t>Carlos Rivera</t>
        </is>
      </c>
      <c r="C30" s="8" t="inlineStr">
        <is>
          <t>Tikka Shack 1</t>
        </is>
      </c>
      <c r="D30" s="8" t="inlineStr">
        <is>
          <t>12:00</t>
        </is>
      </c>
      <c r="E30" s="8" t="inlineStr">
        <is>
          <t>20:00</t>
        </is>
      </c>
      <c r="F30" s="8" t="n">
        <v>8</v>
      </c>
      <c r="G30" s="8" t="n">
        <v>0</v>
      </c>
      <c r="H30" s="8" t="n">
        <v>8</v>
      </c>
    </row>
    <row r="31">
      <c r="A31" s="9" t="inlineStr">
        <is>
          <t>2026-03-11</t>
        </is>
      </c>
      <c r="B31" s="9" t="inlineStr">
        <is>
          <t>Keisha Brown</t>
        </is>
      </c>
      <c r="C31" s="9" t="inlineStr">
        <is>
          <t>Tikka Shack 2</t>
        </is>
      </c>
      <c r="D31" s="9" t="inlineStr">
        <is>
          <t>10:00</t>
        </is>
      </c>
      <c r="E31" s="9" t="inlineStr">
        <is>
          <t>18:00</t>
        </is>
      </c>
      <c r="F31" s="9" t="n">
        <v>8</v>
      </c>
      <c r="G31" s="9" t="n">
        <v>0</v>
      </c>
      <c r="H31" s="9" t="n">
        <v>8</v>
      </c>
    </row>
    <row r="32">
      <c r="A32" s="8" t="inlineStr">
        <is>
          <t>2026-03-11</t>
        </is>
      </c>
      <c r="B32" s="8" t="inlineStr">
        <is>
          <t>Jasmine Lee</t>
        </is>
      </c>
      <c r="C32" s="8" t="inlineStr">
        <is>
          <t>Tikka Shack 2</t>
        </is>
      </c>
      <c r="D32" s="8" t="inlineStr">
        <is>
          <t>14:00</t>
        </is>
      </c>
      <c r="E32" s="8" t="inlineStr">
        <is>
          <t>18:00</t>
        </is>
      </c>
      <c r="F32" s="8" t="n">
        <v>4</v>
      </c>
      <c r="G32" s="8" t="n">
        <v>0</v>
      </c>
      <c r="H32" s="8" t="n">
        <v>4</v>
      </c>
    </row>
    <row r="33">
      <c r="A33" s="9" t="inlineStr">
        <is>
          <t>2026-03-12</t>
        </is>
      </c>
      <c r="B33" s="9" t="inlineStr">
        <is>
          <t>Marcus Johnson</t>
        </is>
      </c>
      <c r="C33" s="9" t="inlineStr">
        <is>
          <t>Moto Medi Lubbock</t>
        </is>
      </c>
      <c r="D33" s="9" t="inlineStr">
        <is>
          <t>08:00</t>
        </is>
      </c>
      <c r="E33" s="9" t="inlineStr">
        <is>
          <t>16:00</t>
        </is>
      </c>
      <c r="F33" s="9" t="n">
        <v>8</v>
      </c>
      <c r="G33" s="9" t="n">
        <v>0</v>
      </c>
      <c r="H33" s="9" t="n">
        <v>8</v>
      </c>
    </row>
    <row r="34">
      <c r="A34" s="8" t="inlineStr">
        <is>
          <t>2026-03-12</t>
        </is>
      </c>
      <c r="B34" s="8" t="inlineStr">
        <is>
          <t>Marcus Johnson</t>
        </is>
      </c>
      <c r="C34" s="8" t="inlineStr">
        <is>
          <t>Moto Medi Amarillo</t>
        </is>
      </c>
      <c r="D34" s="8" t="inlineStr">
        <is>
          <t>17:00</t>
        </is>
      </c>
      <c r="E34" s="8" t="inlineStr">
        <is>
          <t>20:00</t>
        </is>
      </c>
      <c r="F34" s="8" t="n">
        <v>3</v>
      </c>
      <c r="G34" s="8" t="n">
        <v>0</v>
      </c>
      <c r="H34" s="8" t="n">
        <v>3</v>
      </c>
    </row>
    <row r="35">
      <c r="A35" s="9" t="inlineStr">
        <is>
          <t>2026-03-12</t>
        </is>
      </c>
      <c r="B35" s="9" t="inlineStr">
        <is>
          <t>Ashley Torres</t>
        </is>
      </c>
      <c r="C35" s="9" t="inlineStr">
        <is>
          <t>Moto Medi Lubbock</t>
        </is>
      </c>
      <c r="D35" s="9" t="inlineStr">
        <is>
          <t>10:00</t>
        </is>
      </c>
      <c r="E35" s="9" t="inlineStr">
        <is>
          <t>18:00</t>
        </is>
      </c>
      <c r="F35" s="9" t="n">
        <v>8</v>
      </c>
      <c r="G35" s="9" t="n">
        <v>0</v>
      </c>
      <c r="H35" s="9" t="n">
        <v>8</v>
      </c>
    </row>
    <row r="36">
      <c r="A36" s="8" t="inlineStr">
        <is>
          <t>2026-03-12</t>
        </is>
      </c>
      <c r="B36" s="8" t="inlineStr">
        <is>
          <t>Devon Scott</t>
        </is>
      </c>
      <c r="C36" s="8" t="inlineStr">
        <is>
          <t>Moto Medi Lubbock</t>
        </is>
      </c>
      <c r="D36" s="8" t="inlineStr">
        <is>
          <t>14:00</t>
        </is>
      </c>
      <c r="E36" s="8" t="inlineStr">
        <is>
          <t>18:00</t>
        </is>
      </c>
      <c r="F36" s="8" t="n">
        <v>4</v>
      </c>
      <c r="G36" s="8" t="n">
        <v>0</v>
      </c>
      <c r="H36" s="8" t="n">
        <v>4</v>
      </c>
    </row>
    <row r="37">
      <c r="A37" s="9" t="inlineStr">
        <is>
          <t>2026-03-12</t>
        </is>
      </c>
      <c r="B37" s="9" t="inlineStr">
        <is>
          <t>Robert Kim</t>
        </is>
      </c>
      <c r="C37" s="9" t="inlineStr">
        <is>
          <t>Moto Medi Amarillo</t>
        </is>
      </c>
      <c r="D37" s="9" t="inlineStr">
        <is>
          <t>09:00</t>
        </is>
      </c>
      <c r="E37" s="9" t="inlineStr">
        <is>
          <t>17:00</t>
        </is>
      </c>
      <c r="F37" s="9" t="n">
        <v>8</v>
      </c>
      <c r="G37" s="9" t="n">
        <v>0</v>
      </c>
      <c r="H37" s="9" t="n">
        <v>8</v>
      </c>
    </row>
    <row r="38">
      <c r="A38" s="8" t="inlineStr">
        <is>
          <t>2026-03-12</t>
        </is>
      </c>
      <c r="B38" s="8" t="inlineStr">
        <is>
          <t>Destiny Williams</t>
        </is>
      </c>
      <c r="C38" s="8" t="inlineStr">
        <is>
          <t>Moto Medi Amarillo</t>
        </is>
      </c>
      <c r="D38" s="8" t="inlineStr">
        <is>
          <t>11:00</t>
        </is>
      </c>
      <c r="E38" s="8" t="inlineStr">
        <is>
          <t>19:00</t>
        </is>
      </c>
      <c r="F38" s="8" t="n">
        <v>8</v>
      </c>
      <c r="G38" s="8" t="n">
        <v>0</v>
      </c>
      <c r="H38" s="8" t="n">
        <v>8</v>
      </c>
    </row>
    <row r="39">
      <c r="A39" s="9" t="inlineStr">
        <is>
          <t>2026-03-12</t>
        </is>
      </c>
      <c r="B39" s="9" t="inlineStr">
        <is>
          <t>Jake Hernandez</t>
        </is>
      </c>
      <c r="C39" s="9" t="inlineStr">
        <is>
          <t>Moto Medi 3rd</t>
        </is>
      </c>
      <c r="D39" s="9" t="inlineStr">
        <is>
          <t>08:00</t>
        </is>
      </c>
      <c r="E39" s="9" t="inlineStr">
        <is>
          <t>16:00</t>
        </is>
      </c>
      <c r="F39" s="9" t="n">
        <v>8</v>
      </c>
      <c r="G39" s="9" t="n">
        <v>0</v>
      </c>
      <c r="H39" s="9" t="n">
        <v>8</v>
      </c>
    </row>
    <row r="40">
      <c r="A40" s="8" t="inlineStr">
        <is>
          <t>2026-03-12</t>
        </is>
      </c>
      <c r="B40" s="8" t="inlineStr">
        <is>
          <t>Priya Patel</t>
        </is>
      </c>
      <c r="C40" s="8" t="inlineStr">
        <is>
          <t>Tikka Shack 1</t>
        </is>
      </c>
      <c r="D40" s="8" t="inlineStr">
        <is>
          <t>09:00</t>
        </is>
      </c>
      <c r="E40" s="8" t="inlineStr">
        <is>
          <t>17:00</t>
        </is>
      </c>
      <c r="F40" s="8" t="n">
        <v>8</v>
      </c>
      <c r="G40" s="8" t="n">
        <v>0</v>
      </c>
      <c r="H40" s="8" t="n">
        <v>8</v>
      </c>
    </row>
    <row r="41">
      <c r="A41" s="9" t="inlineStr">
        <is>
          <t>2026-03-12</t>
        </is>
      </c>
      <c r="B41" s="9" t="inlineStr">
        <is>
          <t>Carlos Rivera</t>
        </is>
      </c>
      <c r="C41" s="9" t="inlineStr">
        <is>
          <t>Tikka Shack 1</t>
        </is>
      </c>
      <c r="D41" s="9" t="inlineStr">
        <is>
          <t>12:00</t>
        </is>
      </c>
      <c r="E41" s="9" t="inlineStr">
        <is>
          <t>20:00</t>
        </is>
      </c>
      <c r="F41" s="9" t="n">
        <v>8</v>
      </c>
      <c r="G41" s="9" t="n">
        <v>0</v>
      </c>
      <c r="H41" s="9" t="n">
        <v>8</v>
      </c>
    </row>
    <row r="42">
      <c r="A42" s="8" t="inlineStr">
        <is>
          <t>2026-03-12</t>
        </is>
      </c>
      <c r="B42" s="8" t="inlineStr">
        <is>
          <t>Keisha Brown</t>
        </is>
      </c>
      <c r="C42" s="8" t="inlineStr">
        <is>
          <t>Tikka Shack 2</t>
        </is>
      </c>
      <c r="D42" s="8" t="inlineStr">
        <is>
          <t>10:00</t>
        </is>
      </c>
      <c r="E42" s="8" t="inlineStr">
        <is>
          <t>18:30</t>
        </is>
      </c>
      <c r="F42" s="8" t="n">
        <v>8</v>
      </c>
      <c r="G42" s="8" t="n">
        <v>0.5</v>
      </c>
      <c r="H42" s="8" t="n">
        <v>8.5</v>
      </c>
    </row>
    <row r="43">
      <c r="A43" s="9" t="inlineStr">
        <is>
          <t>2026-03-13</t>
        </is>
      </c>
      <c r="B43" s="9" t="inlineStr">
        <is>
          <t>Marcus Johnson</t>
        </is>
      </c>
      <c r="C43" s="9" t="inlineStr">
        <is>
          <t>Moto Medi Lubbock</t>
        </is>
      </c>
      <c r="D43" s="9" t="inlineStr">
        <is>
          <t>08:00</t>
        </is>
      </c>
      <c r="E43" s="9" t="inlineStr">
        <is>
          <t>16:00</t>
        </is>
      </c>
      <c r="F43" s="9" t="n">
        <v>8</v>
      </c>
      <c r="G43" s="9" t="n">
        <v>0</v>
      </c>
      <c r="H43" s="9" t="n">
        <v>8</v>
      </c>
    </row>
    <row r="44">
      <c r="A44" s="8" t="inlineStr">
        <is>
          <t>2026-03-13</t>
        </is>
      </c>
      <c r="B44" s="8" t="inlineStr">
        <is>
          <t>Ashley Torres</t>
        </is>
      </c>
      <c r="C44" s="8" t="inlineStr">
        <is>
          <t>Moto Medi Lubbock</t>
        </is>
      </c>
      <c r="D44" s="8" t="inlineStr">
        <is>
          <t>10:00</t>
        </is>
      </c>
      <c r="E44" s="8" t="inlineStr">
        <is>
          <t>18:00</t>
        </is>
      </c>
      <c r="F44" s="8" t="n">
        <v>8</v>
      </c>
      <c r="G44" s="8" t="n">
        <v>0</v>
      </c>
      <c r="H44" s="8" t="n">
        <v>8</v>
      </c>
    </row>
    <row r="45">
      <c r="A45" s="9" t="inlineStr">
        <is>
          <t>2026-03-13</t>
        </is>
      </c>
      <c r="B45" s="9" t="inlineStr">
        <is>
          <t>Robert Kim</t>
        </is>
      </c>
      <c r="C45" s="9" t="inlineStr">
        <is>
          <t>Moto Medi Amarillo</t>
        </is>
      </c>
      <c r="D45" s="9" t="inlineStr">
        <is>
          <t>09:00</t>
        </is>
      </c>
      <c r="E45" s="9" t="inlineStr">
        <is>
          <t>17:00</t>
        </is>
      </c>
      <c r="F45" s="9" t="n">
        <v>8</v>
      </c>
      <c r="G45" s="9" t="n">
        <v>0</v>
      </c>
      <c r="H45" s="9" t="n">
        <v>8</v>
      </c>
    </row>
    <row r="46">
      <c r="A46" s="8" t="inlineStr">
        <is>
          <t>2026-03-13</t>
        </is>
      </c>
      <c r="B46" s="8" t="inlineStr">
        <is>
          <t>Destiny Williams</t>
        </is>
      </c>
      <c r="C46" s="8" t="inlineStr">
        <is>
          <t>Moto Medi Amarillo</t>
        </is>
      </c>
      <c r="D46" s="8" t="inlineStr">
        <is>
          <t>11:00</t>
        </is>
      </c>
      <c r="E46" s="8" t="inlineStr">
        <is>
          <t>19:00</t>
        </is>
      </c>
      <c r="F46" s="8" t="n">
        <v>8</v>
      </c>
      <c r="G46" s="8" t="n">
        <v>0</v>
      </c>
      <c r="H46" s="8" t="n">
        <v>8</v>
      </c>
    </row>
    <row r="47">
      <c r="A47" s="9" t="inlineStr">
        <is>
          <t>2026-03-13</t>
        </is>
      </c>
      <c r="B47" s="9" t="inlineStr">
        <is>
          <t>Jake Hernandez</t>
        </is>
      </c>
      <c r="C47" s="9" t="inlineStr">
        <is>
          <t>Moto Medi 3rd</t>
        </is>
      </c>
      <c r="D47" s="9" t="inlineStr">
        <is>
          <t>08:00</t>
        </is>
      </c>
      <c r="E47" s="9" t="inlineStr">
        <is>
          <t>16:00</t>
        </is>
      </c>
      <c r="F47" s="9" t="n">
        <v>8</v>
      </c>
      <c r="G47" s="9" t="n">
        <v>0</v>
      </c>
      <c r="H47" s="9" t="n">
        <v>8</v>
      </c>
    </row>
    <row r="48">
      <c r="A48" s="8" t="inlineStr">
        <is>
          <t>2026-03-13</t>
        </is>
      </c>
      <c r="B48" s="8" t="inlineStr">
        <is>
          <t>Priya Patel</t>
        </is>
      </c>
      <c r="C48" s="8" t="inlineStr">
        <is>
          <t>Tikka Shack 1</t>
        </is>
      </c>
      <c r="D48" s="8" t="inlineStr">
        <is>
          <t>09:00</t>
        </is>
      </c>
      <c r="E48" s="8" t="inlineStr">
        <is>
          <t>17:00</t>
        </is>
      </c>
      <c r="F48" s="8" t="n">
        <v>8</v>
      </c>
      <c r="G48" s="8" t="n">
        <v>0</v>
      </c>
      <c r="H48" s="8" t="n">
        <v>8</v>
      </c>
    </row>
    <row r="49">
      <c r="A49" s="9" t="inlineStr">
        <is>
          <t>2026-03-13</t>
        </is>
      </c>
      <c r="B49" s="9" t="inlineStr">
        <is>
          <t>Carlos Rivera</t>
        </is>
      </c>
      <c r="C49" s="9" t="inlineStr">
        <is>
          <t>Tikka Shack 1</t>
        </is>
      </c>
      <c r="D49" s="9" t="inlineStr">
        <is>
          <t>12:00</t>
        </is>
      </c>
      <c r="E49" s="9" t="inlineStr">
        <is>
          <t>20:00</t>
        </is>
      </c>
      <c r="F49" s="9" t="n">
        <v>8</v>
      </c>
      <c r="G49" s="9" t="n">
        <v>0</v>
      </c>
      <c r="H49" s="9" t="n">
        <v>8</v>
      </c>
    </row>
    <row r="50">
      <c r="A50" s="8" t="inlineStr">
        <is>
          <t>2026-03-13</t>
        </is>
      </c>
      <c r="B50" s="8" t="inlineStr">
        <is>
          <t>Keisha Brown</t>
        </is>
      </c>
      <c r="C50" s="8" t="inlineStr">
        <is>
          <t>Tikka Shack 2</t>
        </is>
      </c>
      <c r="D50" s="8" t="inlineStr">
        <is>
          <t>10:00</t>
        </is>
      </c>
      <c r="E50" s="8" t="inlineStr">
        <is>
          <t>18:00</t>
        </is>
      </c>
      <c r="F50" s="8" t="n">
        <v>8</v>
      </c>
      <c r="G50" s="8" t="n">
        <v>0</v>
      </c>
      <c r="H50" s="8" t="n">
        <v>8</v>
      </c>
    </row>
    <row r="51">
      <c r="A51" s="9" t="inlineStr">
        <is>
          <t>2026-03-13</t>
        </is>
      </c>
      <c r="B51" s="9" t="inlineStr">
        <is>
          <t>Jasmine Lee</t>
        </is>
      </c>
      <c r="C51" s="9" t="inlineStr">
        <is>
          <t>Tikka Shack 2</t>
        </is>
      </c>
      <c r="D51" s="9" t="inlineStr">
        <is>
          <t>14:00</t>
        </is>
      </c>
      <c r="E51" s="9" t="inlineStr">
        <is>
          <t>18:00</t>
        </is>
      </c>
      <c r="F51" s="9" t="n">
        <v>4</v>
      </c>
      <c r="G51" s="9" t="n">
        <v>0</v>
      </c>
      <c r="H51" s="9" t="n">
        <v>4</v>
      </c>
    </row>
    <row r="53">
      <c r="A53" s="10" t="inlineStr">
        <is>
          <t>Last Updated:</t>
        </is>
      </c>
      <c r="B53" s="11" t="inlineStr"/>
    </row>
  </sheetData>
  <mergeCells count="1">
    <mergeCell ref="A1:H1"/>
  </mergeCells>
  <conditionalFormatting sqref="A3">
    <cfRule type="expression" priority="1" dxfId="0" stopIfTrue="0">
      <formula>=A3="OK"</formula>
    </cfRule>
  </conditionalFormatting>
  <conditionalFormatting sqref="B3">
    <cfRule type="expression" priority="2" dxfId="0" stopIfTrue="0">
      <formula>=B3="OK"</formula>
    </cfRule>
  </conditionalFormatting>
  <conditionalFormatting sqref="C3">
    <cfRule type="expression" priority="3" dxfId="0" stopIfTrue="0">
      <formula>=C3="OK"</formula>
    </cfRule>
  </conditionalFormatting>
  <conditionalFormatting sqref="D3">
    <cfRule type="expression" priority="4" dxfId="0" stopIfTrue="0">
      <formula>=D3="OK"</formula>
    </cfRule>
  </conditionalFormatting>
  <conditionalFormatting sqref="E3">
    <cfRule type="expression" priority="5" dxfId="0" stopIfTrue="0">
      <formula>=E3="OK"</formula>
    </cfRule>
  </conditionalFormatting>
  <conditionalFormatting sqref="F3">
    <cfRule type="expression" priority="6" dxfId="0" stopIfTrue="0">
      <formula>=F3="OK"</formula>
    </cfRule>
  </conditionalFormatting>
  <conditionalFormatting sqref="G3">
    <cfRule type="expression" priority="7" dxfId="0" stopIfTrue="0">
      <formula>=G3="OK"</formula>
    </cfRule>
  </conditionalFormatting>
  <conditionalFormatting sqref="H3">
    <cfRule type="expression" priority="8" dxfId="0" stopIfTrue="0">
      <formula>=H3="OK"</formula>
    </cfRule>
  </conditionalFormatting>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F4A442"/>
    <outlinePr summaryBelow="1" summaryRight="1"/>
    <pageSetUpPr/>
  </sheetPr>
  <dimension ref="A1:L13"/>
  <sheetViews>
    <sheetView workbookViewId="0">
      <pane ySplit="3" topLeftCell="A4" activePane="bottomLeft" state="frozen"/>
      <selection pane="bottomLeft" activeCell="A1" sqref="A1"/>
    </sheetView>
  </sheetViews>
  <sheetFormatPr baseColWidth="8" defaultRowHeight="15"/>
  <cols>
    <col width="20" customWidth="1" min="1" max="1"/>
    <col width="8" customWidth="1" min="2" max="2"/>
    <col width="8" customWidth="1" min="3" max="3"/>
    <col width="8" customWidth="1" min="4" max="4"/>
    <col width="8" customWidth="1" min="5" max="5"/>
    <col width="8" customWidth="1" min="6" max="6"/>
    <col width="8" customWidth="1" min="7" max="7"/>
    <col width="8" customWidth="1" min="8" max="8"/>
    <col width="12" customWidth="1" min="9" max="9"/>
    <col width="12" customWidth="1" min="10" max="10"/>
    <col width="12" customWidth="1" min="11" max="11"/>
    <col width="10" customWidth="1" min="12" max="12"/>
  </cols>
  <sheetData>
    <row r="1">
      <c r="A1" s="27" t="inlineStr">
        <is>
          <t>Week Starting:</t>
        </is>
      </c>
      <c r="B1" s="53" t="inlineStr">
        <is>
          <t>2026-03-09</t>
        </is>
      </c>
    </row>
    <row r="2" ht="8" customHeight="1"/>
    <row r="3" ht="22" customHeight="1">
      <c r="A3" s="12" t="inlineStr">
        <is>
          <t>Employee Name</t>
        </is>
      </c>
      <c r="B3" s="12" t="inlineStr">
        <is>
          <t>Mon</t>
        </is>
      </c>
      <c r="C3" s="12" t="inlineStr">
        <is>
          <t>Tue</t>
        </is>
      </c>
      <c r="D3" s="12" t="inlineStr">
        <is>
          <t>Wed</t>
        </is>
      </c>
      <c r="E3" s="12" t="inlineStr">
        <is>
          <t>Thu</t>
        </is>
      </c>
      <c r="F3" s="12" t="inlineStr">
        <is>
          <t>Fri</t>
        </is>
      </c>
      <c r="G3" s="12" t="inlineStr">
        <is>
          <t>Sat</t>
        </is>
      </c>
      <c r="H3" s="12" t="inlineStr">
        <is>
          <t>Sun</t>
        </is>
      </c>
      <c r="I3" s="12" t="inlineStr">
        <is>
          <t>Weekly Total</t>
        </is>
      </c>
      <c r="J3" s="12" t="inlineStr">
        <is>
          <t>Overtime Hrs</t>
        </is>
      </c>
      <c r="K3" s="12" t="inlineStr">
        <is>
          <t>Regular Hrs</t>
        </is>
      </c>
      <c r="L3" s="12" t="inlineStr">
        <is>
          <t>Status</t>
        </is>
      </c>
    </row>
    <row r="4">
      <c r="A4" s="8" t="inlineStr">
        <is>
          <t>Marcus Johnson</t>
        </is>
      </c>
      <c r="B4" s="54">
        <f>SUMIFS(INDEX('Labor-Import'!A:Z,0,MATCH("Total Hours",'Labor-Import'!2:2,0)),INDEX('Labor-Import'!A:Z,0,MATCH("Employee Name",'Labor-Import'!2:2,0)),A4,INDEX('Labor-Import'!A:Z,0,MATCH("Date",'Labor-Import'!2:2,0)),B$1+0)</f>
        <v/>
      </c>
      <c r="C4" s="54">
        <f>SUMIFS(INDEX('Labor-Import'!A:Z,0,MATCH("Total Hours",'Labor-Import'!2:2,0)),INDEX('Labor-Import'!A:Z,0,MATCH("Employee Name",'Labor-Import'!2:2,0)),A4,INDEX('Labor-Import'!A:Z,0,MATCH("Date",'Labor-Import'!2:2,0)),B$1+1)</f>
        <v/>
      </c>
      <c r="D4" s="54">
        <f>SUMIFS(INDEX('Labor-Import'!A:Z,0,MATCH("Total Hours",'Labor-Import'!2:2,0)),INDEX('Labor-Import'!A:Z,0,MATCH("Employee Name",'Labor-Import'!2:2,0)),A4,INDEX('Labor-Import'!A:Z,0,MATCH("Date",'Labor-Import'!2:2,0)),B$1+2)</f>
        <v/>
      </c>
      <c r="E4" s="54">
        <f>SUMIFS(INDEX('Labor-Import'!A:Z,0,MATCH("Total Hours",'Labor-Import'!2:2,0)),INDEX('Labor-Import'!A:Z,0,MATCH("Employee Name",'Labor-Import'!2:2,0)),A4,INDEX('Labor-Import'!A:Z,0,MATCH("Date",'Labor-Import'!2:2,0)),B$1+3)</f>
        <v/>
      </c>
      <c r="F4" s="54">
        <f>SUMIFS(INDEX('Labor-Import'!A:Z,0,MATCH("Total Hours",'Labor-Import'!2:2,0)),INDEX('Labor-Import'!A:Z,0,MATCH("Employee Name",'Labor-Import'!2:2,0)),A4,INDEX('Labor-Import'!A:Z,0,MATCH("Date",'Labor-Import'!2:2,0)),B$1+4)</f>
        <v/>
      </c>
      <c r="G4" s="54">
        <f>SUMIFS(INDEX('Labor-Import'!A:Z,0,MATCH("Total Hours",'Labor-Import'!2:2,0)),INDEX('Labor-Import'!A:Z,0,MATCH("Employee Name",'Labor-Import'!2:2,0)),A4,INDEX('Labor-Import'!A:Z,0,MATCH("Date",'Labor-Import'!2:2,0)),B$1+5)</f>
        <v/>
      </c>
      <c r="H4" s="54">
        <f>SUMIFS(INDEX('Labor-Import'!A:Z,0,MATCH("Total Hours",'Labor-Import'!2:2,0)),INDEX('Labor-Import'!A:Z,0,MATCH("Employee Name",'Labor-Import'!2:2,0)),A4,INDEX('Labor-Import'!A:Z,0,MATCH("Date",'Labor-Import'!2:2,0)),B$1+6)</f>
        <v/>
      </c>
      <c r="I4" s="54">
        <f>SUM(B4:H4)</f>
        <v/>
      </c>
      <c r="J4" s="54">
        <f>MAX(I4-40,0)</f>
        <v/>
      </c>
      <c r="K4" s="54">
        <f>MIN(I4,40)</f>
        <v/>
      </c>
      <c r="L4" s="16">
        <f>IF(I4&gt;=38,"HIGH",IF(I4&gt;=32,"WARN","OK"))</f>
        <v/>
      </c>
    </row>
    <row r="5">
      <c r="A5" s="9" t="inlineStr">
        <is>
          <t>Ashley Torres</t>
        </is>
      </c>
      <c r="B5" s="55">
        <f>SUMIFS(INDEX('Labor-Import'!A:Z,0,MATCH("Total Hours",'Labor-Import'!2:2,0)),INDEX('Labor-Import'!A:Z,0,MATCH("Employee Name",'Labor-Import'!2:2,0)),A5,INDEX('Labor-Import'!A:Z,0,MATCH("Date",'Labor-Import'!2:2,0)),B$1+0)</f>
        <v/>
      </c>
      <c r="C5" s="55">
        <f>SUMIFS(INDEX('Labor-Import'!A:Z,0,MATCH("Total Hours",'Labor-Import'!2:2,0)),INDEX('Labor-Import'!A:Z,0,MATCH("Employee Name",'Labor-Import'!2:2,0)),A5,INDEX('Labor-Import'!A:Z,0,MATCH("Date",'Labor-Import'!2:2,0)),B$1+1)</f>
        <v/>
      </c>
      <c r="D5" s="55">
        <f>SUMIFS(INDEX('Labor-Import'!A:Z,0,MATCH("Total Hours",'Labor-Import'!2:2,0)),INDEX('Labor-Import'!A:Z,0,MATCH("Employee Name",'Labor-Import'!2:2,0)),A5,INDEX('Labor-Import'!A:Z,0,MATCH("Date",'Labor-Import'!2:2,0)),B$1+2)</f>
        <v/>
      </c>
      <c r="E5" s="55">
        <f>SUMIFS(INDEX('Labor-Import'!A:Z,0,MATCH("Total Hours",'Labor-Import'!2:2,0)),INDEX('Labor-Import'!A:Z,0,MATCH("Employee Name",'Labor-Import'!2:2,0)),A5,INDEX('Labor-Import'!A:Z,0,MATCH("Date",'Labor-Import'!2:2,0)),B$1+3)</f>
        <v/>
      </c>
      <c r="F5" s="55">
        <f>SUMIFS(INDEX('Labor-Import'!A:Z,0,MATCH("Total Hours",'Labor-Import'!2:2,0)),INDEX('Labor-Import'!A:Z,0,MATCH("Employee Name",'Labor-Import'!2:2,0)),A5,INDEX('Labor-Import'!A:Z,0,MATCH("Date",'Labor-Import'!2:2,0)),B$1+4)</f>
        <v/>
      </c>
      <c r="G5" s="55">
        <f>SUMIFS(INDEX('Labor-Import'!A:Z,0,MATCH("Total Hours",'Labor-Import'!2:2,0)),INDEX('Labor-Import'!A:Z,0,MATCH("Employee Name",'Labor-Import'!2:2,0)),A5,INDEX('Labor-Import'!A:Z,0,MATCH("Date",'Labor-Import'!2:2,0)),B$1+5)</f>
        <v/>
      </c>
      <c r="H5" s="55">
        <f>SUMIFS(INDEX('Labor-Import'!A:Z,0,MATCH("Total Hours",'Labor-Import'!2:2,0)),INDEX('Labor-Import'!A:Z,0,MATCH("Employee Name",'Labor-Import'!2:2,0)),A5,INDEX('Labor-Import'!A:Z,0,MATCH("Date",'Labor-Import'!2:2,0)),B$1+6)</f>
        <v/>
      </c>
      <c r="I5" s="55">
        <f>SUM(B5:H5)</f>
        <v/>
      </c>
      <c r="J5" s="55">
        <f>MAX(I5-40,0)</f>
        <v/>
      </c>
      <c r="K5" s="55">
        <f>MIN(I5,40)</f>
        <v/>
      </c>
      <c r="L5" s="20">
        <f>IF(I5&gt;=38,"HIGH",IF(I5&gt;=32,"WARN","OK"))</f>
        <v/>
      </c>
    </row>
    <row r="6">
      <c r="A6" s="8" t="inlineStr">
        <is>
          <t>Devon Scott</t>
        </is>
      </c>
      <c r="B6" s="54">
        <f>SUMIFS(INDEX('Labor-Import'!A:Z,0,MATCH("Total Hours",'Labor-Import'!2:2,0)),INDEX('Labor-Import'!A:Z,0,MATCH("Employee Name",'Labor-Import'!2:2,0)),A6,INDEX('Labor-Import'!A:Z,0,MATCH("Date",'Labor-Import'!2:2,0)),B$1+0)</f>
        <v/>
      </c>
      <c r="C6" s="54">
        <f>SUMIFS(INDEX('Labor-Import'!A:Z,0,MATCH("Total Hours",'Labor-Import'!2:2,0)),INDEX('Labor-Import'!A:Z,0,MATCH("Employee Name",'Labor-Import'!2:2,0)),A6,INDEX('Labor-Import'!A:Z,0,MATCH("Date",'Labor-Import'!2:2,0)),B$1+1)</f>
        <v/>
      </c>
      <c r="D6" s="54">
        <f>SUMIFS(INDEX('Labor-Import'!A:Z,0,MATCH("Total Hours",'Labor-Import'!2:2,0)),INDEX('Labor-Import'!A:Z,0,MATCH("Employee Name",'Labor-Import'!2:2,0)),A6,INDEX('Labor-Import'!A:Z,0,MATCH("Date",'Labor-Import'!2:2,0)),B$1+2)</f>
        <v/>
      </c>
      <c r="E6" s="54">
        <f>SUMIFS(INDEX('Labor-Import'!A:Z,0,MATCH("Total Hours",'Labor-Import'!2:2,0)),INDEX('Labor-Import'!A:Z,0,MATCH("Employee Name",'Labor-Import'!2:2,0)),A6,INDEX('Labor-Import'!A:Z,0,MATCH("Date",'Labor-Import'!2:2,0)),B$1+3)</f>
        <v/>
      </c>
      <c r="F6" s="54">
        <f>SUMIFS(INDEX('Labor-Import'!A:Z,0,MATCH("Total Hours",'Labor-Import'!2:2,0)),INDEX('Labor-Import'!A:Z,0,MATCH("Employee Name",'Labor-Import'!2:2,0)),A6,INDEX('Labor-Import'!A:Z,0,MATCH("Date",'Labor-Import'!2:2,0)),B$1+4)</f>
        <v/>
      </c>
      <c r="G6" s="54">
        <f>SUMIFS(INDEX('Labor-Import'!A:Z,0,MATCH("Total Hours",'Labor-Import'!2:2,0)),INDEX('Labor-Import'!A:Z,0,MATCH("Employee Name",'Labor-Import'!2:2,0)),A6,INDEX('Labor-Import'!A:Z,0,MATCH("Date",'Labor-Import'!2:2,0)),B$1+5)</f>
        <v/>
      </c>
      <c r="H6" s="54">
        <f>SUMIFS(INDEX('Labor-Import'!A:Z,0,MATCH("Total Hours",'Labor-Import'!2:2,0)),INDEX('Labor-Import'!A:Z,0,MATCH("Employee Name",'Labor-Import'!2:2,0)),A6,INDEX('Labor-Import'!A:Z,0,MATCH("Date",'Labor-Import'!2:2,0)),B$1+6)</f>
        <v/>
      </c>
      <c r="I6" s="54">
        <f>SUM(B6:H6)</f>
        <v/>
      </c>
      <c r="J6" s="54">
        <f>MAX(I6-40,0)</f>
        <v/>
      </c>
      <c r="K6" s="54">
        <f>MIN(I6,40)</f>
        <v/>
      </c>
      <c r="L6" s="16">
        <f>IF(I6&gt;=38,"HIGH",IF(I6&gt;=32,"WARN","OK"))</f>
        <v/>
      </c>
    </row>
    <row r="7">
      <c r="A7" s="9" t="inlineStr">
        <is>
          <t>Robert Kim</t>
        </is>
      </c>
      <c r="B7" s="55">
        <f>SUMIFS(INDEX('Labor-Import'!A:Z,0,MATCH("Total Hours",'Labor-Import'!2:2,0)),INDEX('Labor-Import'!A:Z,0,MATCH("Employee Name",'Labor-Import'!2:2,0)),A7,INDEX('Labor-Import'!A:Z,0,MATCH("Date",'Labor-Import'!2:2,0)),B$1+0)</f>
        <v/>
      </c>
      <c r="C7" s="55">
        <f>SUMIFS(INDEX('Labor-Import'!A:Z,0,MATCH("Total Hours",'Labor-Import'!2:2,0)),INDEX('Labor-Import'!A:Z,0,MATCH("Employee Name",'Labor-Import'!2:2,0)),A7,INDEX('Labor-Import'!A:Z,0,MATCH("Date",'Labor-Import'!2:2,0)),B$1+1)</f>
        <v/>
      </c>
      <c r="D7" s="55">
        <f>SUMIFS(INDEX('Labor-Import'!A:Z,0,MATCH("Total Hours",'Labor-Import'!2:2,0)),INDEX('Labor-Import'!A:Z,0,MATCH("Employee Name",'Labor-Import'!2:2,0)),A7,INDEX('Labor-Import'!A:Z,0,MATCH("Date",'Labor-Import'!2:2,0)),B$1+2)</f>
        <v/>
      </c>
      <c r="E7" s="55">
        <f>SUMIFS(INDEX('Labor-Import'!A:Z,0,MATCH("Total Hours",'Labor-Import'!2:2,0)),INDEX('Labor-Import'!A:Z,0,MATCH("Employee Name",'Labor-Import'!2:2,0)),A7,INDEX('Labor-Import'!A:Z,0,MATCH("Date",'Labor-Import'!2:2,0)),B$1+3)</f>
        <v/>
      </c>
      <c r="F7" s="55">
        <f>SUMIFS(INDEX('Labor-Import'!A:Z,0,MATCH("Total Hours",'Labor-Import'!2:2,0)),INDEX('Labor-Import'!A:Z,0,MATCH("Employee Name",'Labor-Import'!2:2,0)),A7,INDEX('Labor-Import'!A:Z,0,MATCH("Date",'Labor-Import'!2:2,0)),B$1+4)</f>
        <v/>
      </c>
      <c r="G7" s="55">
        <f>SUMIFS(INDEX('Labor-Import'!A:Z,0,MATCH("Total Hours",'Labor-Import'!2:2,0)),INDEX('Labor-Import'!A:Z,0,MATCH("Employee Name",'Labor-Import'!2:2,0)),A7,INDEX('Labor-Import'!A:Z,0,MATCH("Date",'Labor-Import'!2:2,0)),B$1+5)</f>
        <v/>
      </c>
      <c r="H7" s="55">
        <f>SUMIFS(INDEX('Labor-Import'!A:Z,0,MATCH("Total Hours",'Labor-Import'!2:2,0)),INDEX('Labor-Import'!A:Z,0,MATCH("Employee Name",'Labor-Import'!2:2,0)),A7,INDEX('Labor-Import'!A:Z,0,MATCH("Date",'Labor-Import'!2:2,0)),B$1+6)</f>
        <v/>
      </c>
      <c r="I7" s="55">
        <f>SUM(B7:H7)</f>
        <v/>
      </c>
      <c r="J7" s="55">
        <f>MAX(I7-40,0)</f>
        <v/>
      </c>
      <c r="K7" s="55">
        <f>MIN(I7,40)</f>
        <v/>
      </c>
      <c r="L7" s="20">
        <f>IF(I7&gt;=38,"HIGH",IF(I7&gt;=32,"WARN","OK"))</f>
        <v/>
      </c>
    </row>
    <row r="8">
      <c r="A8" s="8" t="inlineStr">
        <is>
          <t>Destiny Williams</t>
        </is>
      </c>
      <c r="B8" s="54">
        <f>SUMIFS(INDEX('Labor-Import'!A:Z,0,MATCH("Total Hours",'Labor-Import'!2:2,0)),INDEX('Labor-Import'!A:Z,0,MATCH("Employee Name",'Labor-Import'!2:2,0)),A8,INDEX('Labor-Import'!A:Z,0,MATCH("Date",'Labor-Import'!2:2,0)),B$1+0)</f>
        <v/>
      </c>
      <c r="C8" s="54">
        <f>SUMIFS(INDEX('Labor-Import'!A:Z,0,MATCH("Total Hours",'Labor-Import'!2:2,0)),INDEX('Labor-Import'!A:Z,0,MATCH("Employee Name",'Labor-Import'!2:2,0)),A8,INDEX('Labor-Import'!A:Z,0,MATCH("Date",'Labor-Import'!2:2,0)),B$1+1)</f>
        <v/>
      </c>
      <c r="D8" s="54">
        <f>SUMIFS(INDEX('Labor-Import'!A:Z,0,MATCH("Total Hours",'Labor-Import'!2:2,0)),INDEX('Labor-Import'!A:Z,0,MATCH("Employee Name",'Labor-Import'!2:2,0)),A8,INDEX('Labor-Import'!A:Z,0,MATCH("Date",'Labor-Import'!2:2,0)),B$1+2)</f>
        <v/>
      </c>
      <c r="E8" s="54">
        <f>SUMIFS(INDEX('Labor-Import'!A:Z,0,MATCH("Total Hours",'Labor-Import'!2:2,0)),INDEX('Labor-Import'!A:Z,0,MATCH("Employee Name",'Labor-Import'!2:2,0)),A8,INDEX('Labor-Import'!A:Z,0,MATCH("Date",'Labor-Import'!2:2,0)),B$1+3)</f>
        <v/>
      </c>
      <c r="F8" s="54">
        <f>SUMIFS(INDEX('Labor-Import'!A:Z,0,MATCH("Total Hours",'Labor-Import'!2:2,0)),INDEX('Labor-Import'!A:Z,0,MATCH("Employee Name",'Labor-Import'!2:2,0)),A8,INDEX('Labor-Import'!A:Z,0,MATCH("Date",'Labor-Import'!2:2,0)),B$1+4)</f>
        <v/>
      </c>
      <c r="G8" s="54">
        <f>SUMIFS(INDEX('Labor-Import'!A:Z,0,MATCH("Total Hours",'Labor-Import'!2:2,0)),INDEX('Labor-Import'!A:Z,0,MATCH("Employee Name",'Labor-Import'!2:2,0)),A8,INDEX('Labor-Import'!A:Z,0,MATCH("Date",'Labor-Import'!2:2,0)),B$1+5)</f>
        <v/>
      </c>
      <c r="H8" s="54">
        <f>SUMIFS(INDEX('Labor-Import'!A:Z,0,MATCH("Total Hours",'Labor-Import'!2:2,0)),INDEX('Labor-Import'!A:Z,0,MATCH("Employee Name",'Labor-Import'!2:2,0)),A8,INDEX('Labor-Import'!A:Z,0,MATCH("Date",'Labor-Import'!2:2,0)),B$1+6)</f>
        <v/>
      </c>
      <c r="I8" s="54">
        <f>SUM(B8:H8)</f>
        <v/>
      </c>
      <c r="J8" s="54">
        <f>MAX(I8-40,0)</f>
        <v/>
      </c>
      <c r="K8" s="54">
        <f>MIN(I8,40)</f>
        <v/>
      </c>
      <c r="L8" s="16">
        <f>IF(I8&gt;=38,"HIGH",IF(I8&gt;=32,"WARN","OK"))</f>
        <v/>
      </c>
    </row>
    <row r="9">
      <c r="A9" s="9" t="inlineStr">
        <is>
          <t>Jake Hernandez</t>
        </is>
      </c>
      <c r="B9" s="55">
        <f>SUMIFS(INDEX('Labor-Import'!A:Z,0,MATCH("Total Hours",'Labor-Import'!2:2,0)),INDEX('Labor-Import'!A:Z,0,MATCH("Employee Name",'Labor-Import'!2:2,0)),A9,INDEX('Labor-Import'!A:Z,0,MATCH("Date",'Labor-Import'!2:2,0)),B$1+0)</f>
        <v/>
      </c>
      <c r="C9" s="55">
        <f>SUMIFS(INDEX('Labor-Import'!A:Z,0,MATCH("Total Hours",'Labor-Import'!2:2,0)),INDEX('Labor-Import'!A:Z,0,MATCH("Employee Name",'Labor-Import'!2:2,0)),A9,INDEX('Labor-Import'!A:Z,0,MATCH("Date",'Labor-Import'!2:2,0)),B$1+1)</f>
        <v/>
      </c>
      <c r="D9" s="55">
        <f>SUMIFS(INDEX('Labor-Import'!A:Z,0,MATCH("Total Hours",'Labor-Import'!2:2,0)),INDEX('Labor-Import'!A:Z,0,MATCH("Employee Name",'Labor-Import'!2:2,0)),A9,INDEX('Labor-Import'!A:Z,0,MATCH("Date",'Labor-Import'!2:2,0)),B$1+2)</f>
        <v/>
      </c>
      <c r="E9" s="55">
        <f>SUMIFS(INDEX('Labor-Import'!A:Z,0,MATCH("Total Hours",'Labor-Import'!2:2,0)),INDEX('Labor-Import'!A:Z,0,MATCH("Employee Name",'Labor-Import'!2:2,0)),A9,INDEX('Labor-Import'!A:Z,0,MATCH("Date",'Labor-Import'!2:2,0)),B$1+3)</f>
        <v/>
      </c>
      <c r="F9" s="55">
        <f>SUMIFS(INDEX('Labor-Import'!A:Z,0,MATCH("Total Hours",'Labor-Import'!2:2,0)),INDEX('Labor-Import'!A:Z,0,MATCH("Employee Name",'Labor-Import'!2:2,0)),A9,INDEX('Labor-Import'!A:Z,0,MATCH("Date",'Labor-Import'!2:2,0)),B$1+4)</f>
        <v/>
      </c>
      <c r="G9" s="55">
        <f>SUMIFS(INDEX('Labor-Import'!A:Z,0,MATCH("Total Hours",'Labor-Import'!2:2,0)),INDEX('Labor-Import'!A:Z,0,MATCH("Employee Name",'Labor-Import'!2:2,0)),A9,INDEX('Labor-Import'!A:Z,0,MATCH("Date",'Labor-Import'!2:2,0)),B$1+5)</f>
        <v/>
      </c>
      <c r="H9" s="55">
        <f>SUMIFS(INDEX('Labor-Import'!A:Z,0,MATCH("Total Hours",'Labor-Import'!2:2,0)),INDEX('Labor-Import'!A:Z,0,MATCH("Employee Name",'Labor-Import'!2:2,0)),A9,INDEX('Labor-Import'!A:Z,0,MATCH("Date",'Labor-Import'!2:2,0)),B$1+6)</f>
        <v/>
      </c>
      <c r="I9" s="55">
        <f>SUM(B9:H9)</f>
        <v/>
      </c>
      <c r="J9" s="55">
        <f>MAX(I9-40,0)</f>
        <v/>
      </c>
      <c r="K9" s="55">
        <f>MIN(I9,40)</f>
        <v/>
      </c>
      <c r="L9" s="20">
        <f>IF(I9&gt;=38,"HIGH",IF(I9&gt;=32,"WARN","OK"))</f>
        <v/>
      </c>
    </row>
    <row r="10">
      <c r="A10" s="8" t="inlineStr">
        <is>
          <t>Priya Patel</t>
        </is>
      </c>
      <c r="B10" s="54">
        <f>SUMIFS(INDEX('Labor-Import'!A:Z,0,MATCH("Total Hours",'Labor-Import'!2:2,0)),INDEX('Labor-Import'!A:Z,0,MATCH("Employee Name",'Labor-Import'!2:2,0)),A10,INDEX('Labor-Import'!A:Z,0,MATCH("Date",'Labor-Import'!2:2,0)),B$1+0)</f>
        <v/>
      </c>
      <c r="C10" s="54">
        <f>SUMIFS(INDEX('Labor-Import'!A:Z,0,MATCH("Total Hours",'Labor-Import'!2:2,0)),INDEX('Labor-Import'!A:Z,0,MATCH("Employee Name",'Labor-Import'!2:2,0)),A10,INDEX('Labor-Import'!A:Z,0,MATCH("Date",'Labor-Import'!2:2,0)),B$1+1)</f>
        <v/>
      </c>
      <c r="D10" s="54">
        <f>SUMIFS(INDEX('Labor-Import'!A:Z,0,MATCH("Total Hours",'Labor-Import'!2:2,0)),INDEX('Labor-Import'!A:Z,0,MATCH("Employee Name",'Labor-Import'!2:2,0)),A10,INDEX('Labor-Import'!A:Z,0,MATCH("Date",'Labor-Import'!2:2,0)),B$1+2)</f>
        <v/>
      </c>
      <c r="E10" s="54">
        <f>SUMIFS(INDEX('Labor-Import'!A:Z,0,MATCH("Total Hours",'Labor-Import'!2:2,0)),INDEX('Labor-Import'!A:Z,0,MATCH("Employee Name",'Labor-Import'!2:2,0)),A10,INDEX('Labor-Import'!A:Z,0,MATCH("Date",'Labor-Import'!2:2,0)),B$1+3)</f>
        <v/>
      </c>
      <c r="F10" s="54">
        <f>SUMIFS(INDEX('Labor-Import'!A:Z,0,MATCH("Total Hours",'Labor-Import'!2:2,0)),INDEX('Labor-Import'!A:Z,0,MATCH("Employee Name",'Labor-Import'!2:2,0)),A10,INDEX('Labor-Import'!A:Z,0,MATCH("Date",'Labor-Import'!2:2,0)),B$1+4)</f>
        <v/>
      </c>
      <c r="G10" s="54">
        <f>SUMIFS(INDEX('Labor-Import'!A:Z,0,MATCH("Total Hours",'Labor-Import'!2:2,0)),INDEX('Labor-Import'!A:Z,0,MATCH("Employee Name",'Labor-Import'!2:2,0)),A10,INDEX('Labor-Import'!A:Z,0,MATCH("Date",'Labor-Import'!2:2,0)),B$1+5)</f>
        <v/>
      </c>
      <c r="H10" s="54">
        <f>SUMIFS(INDEX('Labor-Import'!A:Z,0,MATCH("Total Hours",'Labor-Import'!2:2,0)),INDEX('Labor-Import'!A:Z,0,MATCH("Employee Name",'Labor-Import'!2:2,0)),A10,INDEX('Labor-Import'!A:Z,0,MATCH("Date",'Labor-Import'!2:2,0)),B$1+6)</f>
        <v/>
      </c>
      <c r="I10" s="54">
        <f>SUM(B10:H10)</f>
        <v/>
      </c>
      <c r="J10" s="54">
        <f>MAX(I10-40,0)</f>
        <v/>
      </c>
      <c r="K10" s="54">
        <f>MIN(I10,40)</f>
        <v/>
      </c>
      <c r="L10" s="16">
        <f>IF(I10&gt;=38,"HIGH",IF(I10&gt;=32,"WARN","OK"))</f>
        <v/>
      </c>
    </row>
    <row r="11">
      <c r="A11" s="9" t="inlineStr">
        <is>
          <t>Carlos Rivera</t>
        </is>
      </c>
      <c r="B11" s="55">
        <f>SUMIFS(INDEX('Labor-Import'!A:Z,0,MATCH("Total Hours",'Labor-Import'!2:2,0)),INDEX('Labor-Import'!A:Z,0,MATCH("Employee Name",'Labor-Import'!2:2,0)),A11,INDEX('Labor-Import'!A:Z,0,MATCH("Date",'Labor-Import'!2:2,0)),B$1+0)</f>
        <v/>
      </c>
      <c r="C11" s="55">
        <f>SUMIFS(INDEX('Labor-Import'!A:Z,0,MATCH("Total Hours",'Labor-Import'!2:2,0)),INDEX('Labor-Import'!A:Z,0,MATCH("Employee Name",'Labor-Import'!2:2,0)),A11,INDEX('Labor-Import'!A:Z,0,MATCH("Date",'Labor-Import'!2:2,0)),B$1+1)</f>
        <v/>
      </c>
      <c r="D11" s="55">
        <f>SUMIFS(INDEX('Labor-Import'!A:Z,0,MATCH("Total Hours",'Labor-Import'!2:2,0)),INDEX('Labor-Import'!A:Z,0,MATCH("Employee Name",'Labor-Import'!2:2,0)),A11,INDEX('Labor-Import'!A:Z,0,MATCH("Date",'Labor-Import'!2:2,0)),B$1+2)</f>
        <v/>
      </c>
      <c r="E11" s="55">
        <f>SUMIFS(INDEX('Labor-Import'!A:Z,0,MATCH("Total Hours",'Labor-Import'!2:2,0)),INDEX('Labor-Import'!A:Z,0,MATCH("Employee Name",'Labor-Import'!2:2,0)),A11,INDEX('Labor-Import'!A:Z,0,MATCH("Date",'Labor-Import'!2:2,0)),B$1+3)</f>
        <v/>
      </c>
      <c r="F11" s="55">
        <f>SUMIFS(INDEX('Labor-Import'!A:Z,0,MATCH("Total Hours",'Labor-Import'!2:2,0)),INDEX('Labor-Import'!A:Z,0,MATCH("Employee Name",'Labor-Import'!2:2,0)),A11,INDEX('Labor-Import'!A:Z,0,MATCH("Date",'Labor-Import'!2:2,0)),B$1+4)</f>
        <v/>
      </c>
      <c r="G11" s="55">
        <f>SUMIFS(INDEX('Labor-Import'!A:Z,0,MATCH("Total Hours",'Labor-Import'!2:2,0)),INDEX('Labor-Import'!A:Z,0,MATCH("Employee Name",'Labor-Import'!2:2,0)),A11,INDEX('Labor-Import'!A:Z,0,MATCH("Date",'Labor-Import'!2:2,0)),B$1+5)</f>
        <v/>
      </c>
      <c r="H11" s="55">
        <f>SUMIFS(INDEX('Labor-Import'!A:Z,0,MATCH("Total Hours",'Labor-Import'!2:2,0)),INDEX('Labor-Import'!A:Z,0,MATCH("Employee Name",'Labor-Import'!2:2,0)),A11,INDEX('Labor-Import'!A:Z,0,MATCH("Date",'Labor-Import'!2:2,0)),B$1+6)</f>
        <v/>
      </c>
      <c r="I11" s="55">
        <f>SUM(B11:H11)</f>
        <v/>
      </c>
      <c r="J11" s="55">
        <f>MAX(I11-40,0)</f>
        <v/>
      </c>
      <c r="K11" s="55">
        <f>MIN(I11,40)</f>
        <v/>
      </c>
      <c r="L11" s="20">
        <f>IF(I11&gt;=38,"HIGH",IF(I11&gt;=32,"WARN","OK"))</f>
        <v/>
      </c>
    </row>
    <row r="12">
      <c r="A12" s="8" t="inlineStr">
        <is>
          <t>Keisha Brown</t>
        </is>
      </c>
      <c r="B12" s="54">
        <f>SUMIFS(INDEX('Labor-Import'!A:Z,0,MATCH("Total Hours",'Labor-Import'!2:2,0)),INDEX('Labor-Import'!A:Z,0,MATCH("Employee Name",'Labor-Import'!2:2,0)),A12,INDEX('Labor-Import'!A:Z,0,MATCH("Date",'Labor-Import'!2:2,0)),B$1+0)</f>
        <v/>
      </c>
      <c r="C12" s="54">
        <f>SUMIFS(INDEX('Labor-Import'!A:Z,0,MATCH("Total Hours",'Labor-Import'!2:2,0)),INDEX('Labor-Import'!A:Z,0,MATCH("Employee Name",'Labor-Import'!2:2,0)),A12,INDEX('Labor-Import'!A:Z,0,MATCH("Date",'Labor-Import'!2:2,0)),B$1+1)</f>
        <v/>
      </c>
      <c r="D12" s="54">
        <f>SUMIFS(INDEX('Labor-Import'!A:Z,0,MATCH("Total Hours",'Labor-Import'!2:2,0)),INDEX('Labor-Import'!A:Z,0,MATCH("Employee Name",'Labor-Import'!2:2,0)),A12,INDEX('Labor-Import'!A:Z,0,MATCH("Date",'Labor-Import'!2:2,0)),B$1+2)</f>
        <v/>
      </c>
      <c r="E12" s="54">
        <f>SUMIFS(INDEX('Labor-Import'!A:Z,0,MATCH("Total Hours",'Labor-Import'!2:2,0)),INDEX('Labor-Import'!A:Z,0,MATCH("Employee Name",'Labor-Import'!2:2,0)),A12,INDEX('Labor-Import'!A:Z,0,MATCH("Date",'Labor-Import'!2:2,0)),B$1+3)</f>
        <v/>
      </c>
      <c r="F12" s="54">
        <f>SUMIFS(INDEX('Labor-Import'!A:Z,0,MATCH("Total Hours",'Labor-Import'!2:2,0)),INDEX('Labor-Import'!A:Z,0,MATCH("Employee Name",'Labor-Import'!2:2,0)),A12,INDEX('Labor-Import'!A:Z,0,MATCH("Date",'Labor-Import'!2:2,0)),B$1+4)</f>
        <v/>
      </c>
      <c r="G12" s="54">
        <f>SUMIFS(INDEX('Labor-Import'!A:Z,0,MATCH("Total Hours",'Labor-Import'!2:2,0)),INDEX('Labor-Import'!A:Z,0,MATCH("Employee Name",'Labor-Import'!2:2,0)),A12,INDEX('Labor-Import'!A:Z,0,MATCH("Date",'Labor-Import'!2:2,0)),B$1+5)</f>
        <v/>
      </c>
      <c r="H12" s="54">
        <f>SUMIFS(INDEX('Labor-Import'!A:Z,0,MATCH("Total Hours",'Labor-Import'!2:2,0)),INDEX('Labor-Import'!A:Z,0,MATCH("Employee Name",'Labor-Import'!2:2,0)),A12,INDEX('Labor-Import'!A:Z,0,MATCH("Date",'Labor-Import'!2:2,0)),B$1+6)</f>
        <v/>
      </c>
      <c r="I12" s="54">
        <f>SUM(B12:H12)</f>
        <v/>
      </c>
      <c r="J12" s="54">
        <f>MAX(I12-40,0)</f>
        <v/>
      </c>
      <c r="K12" s="54">
        <f>MIN(I12,40)</f>
        <v/>
      </c>
      <c r="L12" s="16">
        <f>IF(I12&gt;=38,"HIGH",IF(I12&gt;=32,"WARN","OK"))</f>
        <v/>
      </c>
    </row>
    <row r="13">
      <c r="A13" s="9" t="inlineStr">
        <is>
          <t>Jasmine Lee</t>
        </is>
      </c>
      <c r="B13" s="55">
        <f>SUMIFS(INDEX('Labor-Import'!A:Z,0,MATCH("Total Hours",'Labor-Import'!2:2,0)),INDEX('Labor-Import'!A:Z,0,MATCH("Employee Name",'Labor-Import'!2:2,0)),A13,INDEX('Labor-Import'!A:Z,0,MATCH("Date",'Labor-Import'!2:2,0)),B$1+0)</f>
        <v/>
      </c>
      <c r="C13" s="55">
        <f>SUMIFS(INDEX('Labor-Import'!A:Z,0,MATCH("Total Hours",'Labor-Import'!2:2,0)),INDEX('Labor-Import'!A:Z,0,MATCH("Employee Name",'Labor-Import'!2:2,0)),A13,INDEX('Labor-Import'!A:Z,0,MATCH("Date",'Labor-Import'!2:2,0)),B$1+1)</f>
        <v/>
      </c>
      <c r="D13" s="55">
        <f>SUMIFS(INDEX('Labor-Import'!A:Z,0,MATCH("Total Hours",'Labor-Import'!2:2,0)),INDEX('Labor-Import'!A:Z,0,MATCH("Employee Name",'Labor-Import'!2:2,0)),A13,INDEX('Labor-Import'!A:Z,0,MATCH("Date",'Labor-Import'!2:2,0)),B$1+2)</f>
        <v/>
      </c>
      <c r="E13" s="55">
        <f>SUMIFS(INDEX('Labor-Import'!A:Z,0,MATCH("Total Hours",'Labor-Import'!2:2,0)),INDEX('Labor-Import'!A:Z,0,MATCH("Employee Name",'Labor-Import'!2:2,0)),A13,INDEX('Labor-Import'!A:Z,0,MATCH("Date",'Labor-Import'!2:2,0)),B$1+3)</f>
        <v/>
      </c>
      <c r="F13" s="55">
        <f>SUMIFS(INDEX('Labor-Import'!A:Z,0,MATCH("Total Hours",'Labor-Import'!2:2,0)),INDEX('Labor-Import'!A:Z,0,MATCH("Employee Name",'Labor-Import'!2:2,0)),A13,INDEX('Labor-Import'!A:Z,0,MATCH("Date",'Labor-Import'!2:2,0)),B$1+4)</f>
        <v/>
      </c>
      <c r="G13" s="55">
        <f>SUMIFS(INDEX('Labor-Import'!A:Z,0,MATCH("Total Hours",'Labor-Import'!2:2,0)),INDEX('Labor-Import'!A:Z,0,MATCH("Employee Name",'Labor-Import'!2:2,0)),A13,INDEX('Labor-Import'!A:Z,0,MATCH("Date",'Labor-Import'!2:2,0)),B$1+5)</f>
        <v/>
      </c>
      <c r="H13" s="55">
        <f>SUMIFS(INDEX('Labor-Import'!A:Z,0,MATCH("Total Hours",'Labor-Import'!2:2,0)),INDEX('Labor-Import'!A:Z,0,MATCH("Employee Name",'Labor-Import'!2:2,0)),A13,INDEX('Labor-Import'!A:Z,0,MATCH("Date",'Labor-Import'!2:2,0)),B$1+6)</f>
        <v/>
      </c>
      <c r="I13" s="55">
        <f>SUM(B13:H13)</f>
        <v/>
      </c>
      <c r="J13" s="55">
        <f>MAX(I13-40,0)</f>
        <v/>
      </c>
      <c r="K13" s="55">
        <f>MIN(I13,40)</f>
        <v/>
      </c>
      <c r="L13" s="20">
        <f>IF(I13&gt;=38,"HIGH",IF(I13&gt;=32,"WARN","OK"))</f>
        <v/>
      </c>
    </row>
  </sheetData>
  <conditionalFormatting sqref="I4:I100">
    <cfRule type="cellIs" priority="1" operator="greaterThanOrEqual" dxfId="1">
      <formula>38</formula>
    </cfRule>
    <cfRule type="expression" priority="2" dxfId="2">
      <formula>AND(I4&gt;=32,I4&lt;38)</formula>
    </cfRule>
    <cfRule type="cellIs" priority="3" operator="lessThan" dxfId="6">
      <formula>32</formula>
    </cfRule>
  </conditionalFormatting>
  <conditionalFormatting sqref="L4:L100">
    <cfRule type="expression" priority="4" dxfId="1">
      <formula>L4="HIGH"</formula>
    </cfRule>
    <cfRule type="expression" priority="5" dxfId="2">
      <formula>L4="WARN"</formula>
    </cfRule>
    <cfRule type="expression" priority="6" dxfId="6">
      <formula>L4="OK"</formula>
    </cfRule>
  </conditionalFormatting>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F4A442"/>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20" customWidth="1" min="1" max="1"/>
    <col width="14" customWidth="1" min="2" max="2"/>
    <col width="14" customWidth="1" min="3" max="3"/>
    <col width="16" customWidth="1" min="4" max="4"/>
    <col width="20" customWidth="1" min="5" max="5"/>
    <col width="14" customWidth="1" min="6" max="6"/>
  </cols>
  <sheetData>
    <row r="1">
      <c r="A1" s="27" t="inlineStr">
        <is>
          <t>Pay Period Ending:</t>
        </is>
      </c>
      <c r="B1" s="53" t="inlineStr">
        <is>
          <t>2026-03-15</t>
        </is>
      </c>
    </row>
    <row r="2" ht="8" customHeight="1"/>
    <row r="3" ht="22" customHeight="1">
      <c r="A3" s="12" t="inlineStr">
        <is>
          <t>Employee Name</t>
        </is>
      </c>
      <c r="B3" s="12" t="inlineStr">
        <is>
          <t>Regular Hours</t>
        </is>
      </c>
      <c r="C3" s="12" t="inlineStr">
        <is>
          <t>Overtime Hours</t>
        </is>
      </c>
      <c r="D3" s="12" t="inlineStr">
        <is>
          <t>Current Pay Rate</t>
        </is>
      </c>
      <c r="E3" s="12" t="inlineStr">
        <is>
          <t>Estimated Gross Pay</t>
        </is>
      </c>
      <c r="F3" s="12" t="inlineStr">
        <is>
          <t>Pay Period</t>
        </is>
      </c>
    </row>
    <row r="4">
      <c r="A4" s="8">
        <f>'Overtime-Tracker'!A4</f>
        <v/>
      </c>
      <c r="B4" s="54">
        <f>'Overtime-Tracker'!K4</f>
        <v/>
      </c>
      <c r="C4" s="54">
        <f>'Overtime-Tracker'!J4</f>
        <v/>
      </c>
      <c r="D4" s="23">
        <f>IFERROR(VLOOKUP(A4,'Employee-Roster'!B:D,3,FALSE),"RATE NOT FOUND")</f>
        <v/>
      </c>
      <c r="E4" s="23">
        <f>IFERROR((B4*D4)+(C4*D4*1.5),"")</f>
        <v/>
      </c>
      <c r="F4" s="22">
        <f>$B$1</f>
        <v/>
      </c>
    </row>
    <row r="5">
      <c r="A5" s="9">
        <f>'Overtime-Tracker'!A5</f>
        <v/>
      </c>
      <c r="B5" s="55">
        <f>'Overtime-Tracker'!K5</f>
        <v/>
      </c>
      <c r="C5" s="55">
        <f>'Overtime-Tracker'!J5</f>
        <v/>
      </c>
      <c r="D5" s="56">
        <f>IFERROR(VLOOKUP(A5,'Employee-Roster'!B:D,3,FALSE),"RATE NOT FOUND")</f>
        <v/>
      </c>
      <c r="E5" s="56">
        <f>IFERROR((B5*D5)+(C5*D5*1.5),"")</f>
        <v/>
      </c>
      <c r="F5" s="57">
        <f>$B$1</f>
        <v/>
      </c>
    </row>
    <row r="6">
      <c r="A6" s="8">
        <f>'Overtime-Tracker'!A6</f>
        <v/>
      </c>
      <c r="B6" s="54">
        <f>'Overtime-Tracker'!K6</f>
        <v/>
      </c>
      <c r="C6" s="54">
        <f>'Overtime-Tracker'!J6</f>
        <v/>
      </c>
      <c r="D6" s="23">
        <f>IFERROR(VLOOKUP(A6,'Employee-Roster'!B:D,3,FALSE),"RATE NOT FOUND")</f>
        <v/>
      </c>
      <c r="E6" s="23">
        <f>IFERROR((B6*D6)+(C6*D6*1.5),"")</f>
        <v/>
      </c>
      <c r="F6" s="22">
        <f>$B$1</f>
        <v/>
      </c>
    </row>
    <row r="7">
      <c r="A7" s="9">
        <f>'Overtime-Tracker'!A7</f>
        <v/>
      </c>
      <c r="B7" s="55">
        <f>'Overtime-Tracker'!K7</f>
        <v/>
      </c>
      <c r="C7" s="55">
        <f>'Overtime-Tracker'!J7</f>
        <v/>
      </c>
      <c r="D7" s="56">
        <f>IFERROR(VLOOKUP(A7,'Employee-Roster'!B:D,3,FALSE),"RATE NOT FOUND")</f>
        <v/>
      </c>
      <c r="E7" s="56">
        <f>IFERROR((B7*D7)+(C7*D7*1.5),"")</f>
        <v/>
      </c>
      <c r="F7" s="57">
        <f>$B$1</f>
        <v/>
      </c>
    </row>
    <row r="8">
      <c r="A8" s="8">
        <f>'Overtime-Tracker'!A8</f>
        <v/>
      </c>
      <c r="B8" s="54">
        <f>'Overtime-Tracker'!K8</f>
        <v/>
      </c>
      <c r="C8" s="54">
        <f>'Overtime-Tracker'!J8</f>
        <v/>
      </c>
      <c r="D8" s="23">
        <f>IFERROR(VLOOKUP(A8,'Employee-Roster'!B:D,3,FALSE),"RATE NOT FOUND")</f>
        <v/>
      </c>
      <c r="E8" s="23">
        <f>IFERROR((B8*D8)+(C8*D8*1.5),"")</f>
        <v/>
      </c>
      <c r="F8" s="22">
        <f>$B$1</f>
        <v/>
      </c>
    </row>
    <row r="9">
      <c r="A9" s="9">
        <f>'Overtime-Tracker'!A9</f>
        <v/>
      </c>
      <c r="B9" s="55">
        <f>'Overtime-Tracker'!K9</f>
        <v/>
      </c>
      <c r="C9" s="55">
        <f>'Overtime-Tracker'!J9</f>
        <v/>
      </c>
      <c r="D9" s="56">
        <f>IFERROR(VLOOKUP(A9,'Employee-Roster'!B:D,3,FALSE),"RATE NOT FOUND")</f>
        <v/>
      </c>
      <c r="E9" s="56">
        <f>IFERROR((B9*D9)+(C9*D9*1.5),"")</f>
        <v/>
      </c>
      <c r="F9" s="57">
        <f>$B$1</f>
        <v/>
      </c>
    </row>
    <row r="10">
      <c r="A10" s="8">
        <f>'Overtime-Tracker'!A10</f>
        <v/>
      </c>
      <c r="B10" s="54">
        <f>'Overtime-Tracker'!K10</f>
        <v/>
      </c>
      <c r="C10" s="54">
        <f>'Overtime-Tracker'!J10</f>
        <v/>
      </c>
      <c r="D10" s="23">
        <f>IFERROR(VLOOKUP(A10,'Employee-Roster'!B:D,3,FALSE),"RATE NOT FOUND")</f>
        <v/>
      </c>
      <c r="E10" s="23">
        <f>IFERROR((B10*D10)+(C10*D10*1.5),"")</f>
        <v/>
      </c>
      <c r="F10" s="22">
        <f>$B$1</f>
        <v/>
      </c>
    </row>
    <row r="11">
      <c r="A11" s="9">
        <f>'Overtime-Tracker'!A11</f>
        <v/>
      </c>
      <c r="B11" s="55">
        <f>'Overtime-Tracker'!K11</f>
        <v/>
      </c>
      <c r="C11" s="55">
        <f>'Overtime-Tracker'!J11</f>
        <v/>
      </c>
      <c r="D11" s="56">
        <f>IFERROR(VLOOKUP(A11,'Employee-Roster'!B:D,3,FALSE),"RATE NOT FOUND")</f>
        <v/>
      </c>
      <c r="E11" s="56">
        <f>IFERROR((B11*D11)+(C11*D11*1.5),"")</f>
        <v/>
      </c>
      <c r="F11" s="57">
        <f>$B$1</f>
        <v/>
      </c>
    </row>
    <row r="12">
      <c r="A12" s="8">
        <f>'Overtime-Tracker'!A12</f>
        <v/>
      </c>
      <c r="B12" s="54">
        <f>'Overtime-Tracker'!K12</f>
        <v/>
      </c>
      <c r="C12" s="54">
        <f>'Overtime-Tracker'!J12</f>
        <v/>
      </c>
      <c r="D12" s="23">
        <f>IFERROR(VLOOKUP(A12,'Employee-Roster'!B:D,3,FALSE),"RATE NOT FOUND")</f>
        <v/>
      </c>
      <c r="E12" s="23">
        <f>IFERROR((B12*D12)+(C12*D12*1.5),"")</f>
        <v/>
      </c>
      <c r="F12" s="22">
        <f>$B$1</f>
        <v/>
      </c>
    </row>
    <row r="13">
      <c r="A13" s="9">
        <f>'Overtime-Tracker'!A13</f>
        <v/>
      </c>
      <c r="B13" s="55">
        <f>'Overtime-Tracker'!K13</f>
        <v/>
      </c>
      <c r="C13" s="55">
        <f>'Overtime-Tracker'!J13</f>
        <v/>
      </c>
      <c r="D13" s="56">
        <f>IFERROR(VLOOKUP(A13,'Employee-Roster'!B:D,3,FALSE),"RATE NOT FOUND")</f>
        <v/>
      </c>
      <c r="E13" s="56">
        <f>IFERROR((B13*D13)+(C13*D13*1.5),"")</f>
        <v/>
      </c>
      <c r="F13" s="57">
        <f>$B$1</f>
        <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2026-03-14T20:19:47Z</dcterms:created>
  <dcterms:modified xmlns:dcterms="http://purl.org/dc/terms/" xmlns:xsi="http://www.w3.org/2001/XMLSchema-instance" xsi:type="dcterms:W3CDTF">2026-03-14T20:19:47Z</dcterms:modified>
</cp:coreProperties>
</file>