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quare-Import" sheetId="2" state="visible" r:id="rId2"/>
    <sheet xmlns:r="http://schemas.openxmlformats.org/officeDocument/2006/relationships" name="DoorDash-Import" sheetId="3" state="visible" r:id="rId3"/>
    <sheet xmlns:r="http://schemas.openxmlformats.org/officeDocument/2006/relationships" name="UberEats-Import" sheetId="4" state="visible" r:id="rId4"/>
    <sheet xmlns:r="http://schemas.openxmlformats.org/officeDocument/2006/relationships" name="Grubhub-Import" sheetId="5" state="visible" r:id="rId5"/>
    <sheet xmlns:r="http://schemas.openxmlformats.org/officeDocument/2006/relationships" name="BEK-Import" sheetId="6" state="visible" r:id="rId6"/>
    <sheet xmlns:r="http://schemas.openxmlformats.org/officeDocument/2006/relationships" name="Employee-Roster" sheetId="7" state="visible" r:id="rId7"/>
    <sheet xmlns:r="http://schemas.openxmlformats.org/officeDocument/2006/relationships" name="Prior-Week" sheetId="8" state="visible" r:id="rId8"/>
    <sheet xmlns:r="http://schemas.openxmlformats.org/officeDocument/2006/relationships" name="MML-Calc" sheetId="9" state="visible" r:id="rId9"/>
    <sheet xmlns:r="http://schemas.openxmlformats.org/officeDocument/2006/relationships" name="MMA-Calc" sheetId="10" state="visible" r:id="rId10"/>
    <sheet xmlns:r="http://schemas.openxmlformats.org/officeDocument/2006/relationships" name="MM3-Calc" sheetId="11" state="visible" r:id="rId11"/>
    <sheet xmlns:r="http://schemas.openxmlformats.org/officeDocument/2006/relationships" name="TS1-Calc" sheetId="12" state="visible" r:id="rId12"/>
    <sheet xmlns:r="http://schemas.openxmlformats.org/officeDocument/2006/relationships" name="TS2-Calc" sheetId="13" state="visible" r:id="rId13"/>
    <sheet xmlns:r="http://schemas.openxmlformats.org/officeDocument/2006/relationships" name="Summary" sheetId="14" state="visible" r:id="rId14"/>
  </sheets>
  <definedNames>
    <definedName name="_xlnm.Print_Area" localSheetId="13">'Summary'!$A$1:$F$14</definedName>
  </definedNames>
  <calcPr calcId="124519" fullCalcOnLoad="1"/>
</workbook>
</file>

<file path=xl/styles.xml><?xml version="1.0" encoding="utf-8"?>
<styleSheet xmlns="http://schemas.openxmlformats.org/spreadsheetml/2006/main">
  <numFmts count="3">
    <numFmt numFmtId="164" formatCode="YYYY-MM-DD"/>
    <numFmt numFmtId="165" formatCode="&quot;$&quot;#,##0.00"/>
    <numFmt numFmtId="166" formatCode="0.0%"/>
  </numFmts>
  <fonts count="16">
    <font>
      <name val="Calibri"/>
      <family val="2"/>
      <color theme="1"/>
      <sz val="11"/>
      <scheme val="minor"/>
    </font>
    <font>
      <name val="Calibri"/>
      <b val="1"/>
      <color rgb="00FFFFFF"/>
      <sz val="16"/>
    </font>
    <font>
      <name val="Calibri"/>
      <sz val="11"/>
    </font>
    <font>
      <name val="Calibri"/>
      <b val="1"/>
      <color rgb="002F5496"/>
      <sz val="12"/>
    </font>
    <font>
      <name val="Calibri"/>
      <b val="1"/>
      <color rgb="007F4F00"/>
      <sz val="10"/>
    </font>
    <font>
      <name val="Calibri"/>
      <b val="1"/>
      <color rgb="00FFFFFF"/>
      <sz val="11"/>
    </font>
    <font>
      <name val="Calibri"/>
      <i val="1"/>
      <color rgb="00888888"/>
      <sz val="9"/>
    </font>
    <font>
      <name val="Calibri"/>
      <color rgb="00CC0000"/>
      <sz val="10"/>
    </font>
    <font>
      <name val="Calibri"/>
      <b val="1"/>
      <sz val="11"/>
    </font>
    <font>
      <name val="Calibri"/>
      <i val="1"/>
      <color rgb="00666666"/>
      <sz val="10"/>
    </font>
    <font>
      <name val="Calibri"/>
      <i val="1"/>
      <color rgb="00AAAAAA"/>
      <sz val="11"/>
    </font>
    <font>
      <name val="Calibri"/>
      <b val="1"/>
      <color rgb="00FFFFFF"/>
      <sz val="14"/>
    </font>
    <font>
      <name val="Calibri"/>
      <i val="1"/>
      <color rgb="00AAAAAA"/>
      <sz val="10"/>
    </font>
    <font>
      <name val="Calibri"/>
      <b val="1"/>
      <color rgb="001C3557"/>
      <sz val="18"/>
    </font>
    <font>
      <name val="Calibri"/>
      <b val="1"/>
      <color rgb="00111111"/>
      <sz val="11"/>
    </font>
    <font>
      <name val="Calibri"/>
      <i val="1"/>
      <color rgb="00666666"/>
      <sz val="11"/>
    </font>
  </fonts>
  <fills count="14">
    <fill>
      <patternFill/>
    </fill>
    <fill>
      <patternFill patternType="gray125"/>
    </fill>
    <fill>
      <patternFill patternType="solid">
        <fgColor rgb="002F5496"/>
      </patternFill>
    </fill>
    <fill>
      <patternFill patternType="solid">
        <fgColor rgb="00FFFFFF"/>
      </patternFill>
    </fill>
    <fill>
      <patternFill patternType="solid">
        <fgColor rgb="00E8F0FE"/>
      </patternFill>
    </fill>
    <fill>
      <patternFill patternType="solid">
        <fgColor rgb="00FFF2CC"/>
      </patternFill>
    </fill>
    <fill>
      <patternFill patternType="solid">
        <fgColor rgb="004472C4"/>
      </patternFill>
    </fill>
    <fill>
      <patternFill patternType="solid">
        <fgColor rgb="00F3F3F3"/>
      </patternFill>
    </fill>
    <fill>
      <patternFill patternType="solid">
        <fgColor rgb="00FBE4E4"/>
      </patternFill>
    </fill>
    <fill>
      <patternFill patternType="solid">
        <fgColor rgb="00F2F2F2"/>
      </patternFill>
    </fill>
    <fill>
      <patternFill patternType="solid">
        <fgColor rgb="00FFF9C4"/>
      </patternFill>
    </fill>
    <fill>
      <patternFill patternType="solid">
        <fgColor rgb="00434343"/>
      </patternFill>
    </fill>
    <fill>
      <patternFill patternType="solid">
        <fgColor rgb="00FDE9D9"/>
      </patternFill>
    </fill>
    <fill>
      <patternFill patternType="solid">
        <fgColor rgb="00D0E2F1"/>
      </patternFill>
    </fill>
  </fills>
  <borders count="1">
    <border>
      <left/>
      <right/>
      <top/>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4" borderId="0" applyAlignment="1" pivotButton="0" quotePrefix="0" xfId="0">
      <alignment horizontal="left" vertical="top" wrapText="1"/>
    </xf>
    <xf numFmtId="0" fontId="4" fillId="5" borderId="0" applyAlignment="1" pivotButton="0" quotePrefix="0" xfId="0">
      <alignment horizontal="center" vertical="center" wrapText="1"/>
    </xf>
    <xf numFmtId="0" fontId="5" fillId="6" borderId="0" applyAlignment="1" pivotButton="0" quotePrefix="0" xfId="0">
      <alignment horizontal="center" vertical="center" wrapText="1"/>
    </xf>
    <xf numFmtId="0" fontId="6" fillId="7" borderId="0" applyAlignment="1" pivotButton="0" quotePrefix="0" xfId="0">
      <alignment horizontal="center" vertical="center" wrapText="1"/>
    </xf>
    <xf numFmtId="0" fontId="7" fillId="8" borderId="0" applyAlignment="1" pivotButton="0" quotePrefix="0" xfId="0">
      <alignment horizontal="center" vertical="center" wrapText="1"/>
    </xf>
    <xf numFmtId="0" fontId="2" fillId="9" borderId="0" applyAlignment="1" pivotButton="0" quotePrefix="0" xfId="0">
      <alignment horizontal="left" vertical="center" wrapText="1"/>
    </xf>
    <xf numFmtId="0" fontId="2" fillId="3" borderId="0" applyAlignment="1" pivotButton="0" quotePrefix="0" xfId="0">
      <alignment horizontal="left" vertical="center" wrapText="1"/>
    </xf>
    <xf numFmtId="0" fontId="8" fillId="0" borderId="0" pivotButton="0" quotePrefix="0" xfId="0"/>
    <xf numFmtId="164" fontId="0" fillId="10" borderId="0" pivotButton="0" quotePrefix="0" xfId="0"/>
    <xf numFmtId="0" fontId="5" fillId="2" borderId="0" applyAlignment="1" pivotButton="0" quotePrefix="0" xfId="0">
      <alignment horizontal="center" vertical="center" wrapText="1"/>
    </xf>
    <xf numFmtId="165" fontId="2" fillId="9" borderId="0" applyAlignment="1" pivotButton="0" quotePrefix="0" xfId="0">
      <alignment horizontal="left" vertical="center" wrapText="1"/>
    </xf>
    <xf numFmtId="164" fontId="2" fillId="9" borderId="0" applyAlignment="1" pivotButton="0" quotePrefix="0" xfId="0">
      <alignment horizontal="left" vertical="center" wrapText="1"/>
    </xf>
    <xf numFmtId="165" fontId="2" fillId="3" borderId="0" applyAlignment="1" pivotButton="0" quotePrefix="0" xfId="0">
      <alignment horizontal="left" vertical="center" wrapText="1"/>
    </xf>
    <xf numFmtId="164" fontId="2" fillId="3" borderId="0" applyAlignment="1" pivotButton="0" quotePrefix="0" xfId="0">
      <alignment horizontal="left" vertical="center" wrapText="1"/>
    </xf>
    <xf numFmtId="0" fontId="9" fillId="0" borderId="0" applyAlignment="1" pivotButton="0" quotePrefix="0" xfId="0">
      <alignment horizontal="left" wrapText="1"/>
    </xf>
    <xf numFmtId="164" fontId="2" fillId="9" borderId="0" applyAlignment="1" pivotButton="0" quotePrefix="0" xfId="0">
      <alignment horizontal="center" vertical="center" wrapText="1"/>
    </xf>
    <xf numFmtId="165" fontId="2" fillId="9" borderId="0" applyAlignment="1" pivotButton="0" quotePrefix="0" xfId="0">
      <alignment horizontal="center" vertical="center" wrapText="1"/>
    </xf>
    <xf numFmtId="166" fontId="2" fillId="9" borderId="0" applyAlignment="1" pivotButton="0" quotePrefix="0" xfId="0">
      <alignment horizontal="center" vertical="center" wrapText="1"/>
    </xf>
    <xf numFmtId="0" fontId="2" fillId="9" borderId="0" applyAlignment="1" pivotButton="0" quotePrefix="0" xfId="0">
      <alignment horizontal="center" vertical="center" wrapText="1"/>
    </xf>
    <xf numFmtId="164" fontId="10" fillId="3" borderId="0" pivotButton="0" quotePrefix="0" xfId="0"/>
    <xf numFmtId="0" fontId="11" fillId="2" borderId="0" applyAlignment="1" pivotButton="0" quotePrefix="0" xfId="0">
      <alignment horizontal="center" vertical="center" wrapText="1"/>
    </xf>
    <xf numFmtId="0" fontId="8" fillId="0" borderId="0" applyAlignment="1" pivotButton="0" quotePrefix="0" xfId="0">
      <alignment horizontal="left" vertical="center" wrapText="1"/>
    </xf>
    <xf numFmtId="0" fontId="3" fillId="4" borderId="0" pivotButton="0" quotePrefix="0" xfId="0"/>
    <xf numFmtId="0" fontId="2" fillId="0" borderId="0" applyAlignment="1" pivotButton="0" quotePrefix="0" xfId="0">
      <alignment horizontal="left" vertical="center" wrapText="1"/>
    </xf>
    <xf numFmtId="165" fontId="0" fillId="0" borderId="0" pivotButton="0" quotePrefix="0" xfId="0"/>
    <xf numFmtId="166" fontId="0" fillId="0" borderId="0" pivotButton="0" quotePrefix="0" xfId="0"/>
    <xf numFmtId="0" fontId="8" fillId="4" borderId="0" applyAlignment="1" pivotButton="0" quotePrefix="0" xfId="0">
      <alignment horizontal="left" vertical="center" wrapText="1"/>
    </xf>
    <xf numFmtId="165" fontId="0" fillId="4" borderId="0" pivotButton="0" quotePrefix="0" xfId="0"/>
    <xf numFmtId="166" fontId="0" fillId="4" borderId="0" pivotButton="0" quotePrefix="0" xfId="0"/>
    <xf numFmtId="0" fontId="12" fillId="0" borderId="0" applyAlignment="1" pivotButton="0" quotePrefix="0" xfId="0">
      <alignment horizontal="left" wrapText="1"/>
    </xf>
    <xf numFmtId="0" fontId="13" fillId="5" borderId="0" applyAlignment="1" pivotButton="0" quotePrefix="0" xfId="0">
      <alignment horizontal="center" vertical="center" wrapText="1"/>
    </xf>
    <xf numFmtId="0" fontId="5" fillId="11" borderId="0" applyAlignment="1" pivotButton="0" quotePrefix="0" xfId="0">
      <alignment horizontal="center" vertical="center" wrapText="1"/>
    </xf>
    <xf numFmtId="0" fontId="14" fillId="0" borderId="0" applyAlignment="1" pivotButton="0" quotePrefix="0" xfId="0">
      <alignment horizontal="left" vertical="center" wrapText="1"/>
    </xf>
    <xf numFmtId="0" fontId="0" fillId="12" borderId="0" pivotButton="0" quotePrefix="0" xfId="0"/>
    <xf numFmtId="0" fontId="0" fillId="13" borderId="0" pivotButton="0" quotePrefix="0" xfId="0"/>
    <xf numFmtId="0" fontId="15" fillId="0" borderId="0" applyAlignment="1" pivotButton="0" quotePrefix="0" xfId="0">
      <alignment horizontal="left" vertical="center" wrapText="1"/>
    </xf>
  </cellXfs>
  <cellStyles count="1">
    <cellStyle name="Normal" xfId="0" builtinId="0" hidden="0"/>
  </cellStyles>
  <dxfs count="1">
    <dxf>
      <font>
        <name val="Calibri"/>
        <b val="1"/>
        <color rgb="00006100"/>
        <sz val="10"/>
      </font>
      <fill>
        <patternFill patternType="solid">
          <fgColor rgb="00D9EAD3"/>
          <b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2.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3.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4.xml><?xml version="1.0" encoding="utf-8"?>
<comments xmlns="http://schemas.openxmlformats.org/spreadsheetml/2006/main">
  <authors>
    <author>Build Script</author>
  </authors>
  <commentList>
    <comment ref="B30" authorId="0" shapeId="0">
      <text>
        <t>Enter the date you pasted this data.</t>
      </text>
    </comment>
  </commentList>
</comments>
</file>

<file path=xl/comments/comment5.xml><?xml version="1.0" encoding="utf-8"?>
<comments xmlns="http://schemas.openxmlformats.org/spreadsheetml/2006/main">
  <authors>
    <author>Build Script</author>
  </authors>
  <commentList>
    <comment ref="B20" authorId="0" shapeId="0">
      <text>
        <t>Enter the date you pasted this data.</t>
      </text>
    </comment>
  </commentList>
</comments>
</file>

<file path=xl/comments/comment6.xml><?xml version="1.0" encoding="utf-8"?>
<comments xmlns="http://schemas.openxmlformats.org/spreadsheetml/2006/main">
  <authors>
    <author>Build Script</author>
  </authors>
  <commentList>
    <comment ref="A3" authorId="0" shapeId="0">
      <text>
        <t>This row will hold the current week's KPIs after Monday reporting is complete. Copy values from Summary tab (paste as VALUES only) so next week's WoW formulas can reference them.</t>
      </text>
    </comment>
  </commentList>
</comments>
</file>

<file path=xl/comments/comment7.xml><?xml version="1.0" encoding="utf-8"?>
<comments xmlns="http://schemas.openxmlformats.org/spreadsheetml/2006/main">
  <authors>
    <author>Build Script</author>
  </authors>
  <commentList>
    <comment ref="B2" authorId="0" shapeId="0">
      <text>
        <t>Link this to the master week-ending date cell, or enter manually each Monday.</t>
      </text>
    </comment>
  </commentList>
</comments>
</file>

<file path=xl/comments/comment8.xml><?xml version="1.0" encoding="utf-8"?>
<comments xmlns="http://schemas.openxmlformats.org/spreadsheetml/2006/main">
  <authors>
    <author>Build Script</author>
  </authors>
  <commentList>
    <comment ref="B2" authorId="0" shapeId="0">
      <text>
        <t>Link this to the master week-ending date cell, or enter manually each Monday.</t>
      </text>
    </comment>
  </commentList>
</comments>
</file>

<file path=xl/comments/comment9.xml><?xml version="1.0" encoding="utf-8"?>
<comments xmlns="http://schemas.openxmlformats.org/spreadsheetml/2006/main">
  <authors>
    <author>Build Script</author>
  </authors>
  <commentList>
    <comment ref="B2" authorId="0" shapeId="0">
      <text>
        <t>Link this to the master week-ending date cell, or enter manually each Monday.</t>
      </text>
    </comment>
  </commentList>
</comments>
</file>

<file path=xl/comments/comment10.xml><?xml version="1.0" encoding="utf-8"?>
<comments xmlns="http://schemas.openxmlformats.org/spreadsheetml/2006/main">
  <authors>
    <author>Build Script</author>
  </authors>
  <commentList>
    <comment ref="B2" authorId="0" shapeId="0">
      <text>
        <t>Link this to the master week-ending date cell, or enter manually each Monday.</t>
      </text>
    </comment>
  </commentList>
</comments>
</file>

<file path=xl/comments/comment11.xml><?xml version="1.0" encoding="utf-8"?>
<comments xmlns="http://schemas.openxmlformats.org/spreadsheetml/2006/main">
  <authors>
    <author>Build Script</author>
  </authors>
  <commentList>
    <comment ref="B2" authorId="0" shapeId="0">
      <text>
        <t>Link this to the master week-ending date cell, or enter manually each Monday.</t>
      </text>
    </comment>
  </commentList>
</comments>
</file>

<file path=xl/comments/comment12.xml><?xml version="1.0" encoding="utf-8"?>
<comments xmlns="http://schemas.openxmlformats.org/spreadsheetml/2006/main">
  <authors>
    <author>Build Script</author>
  </authors>
  <commentList>
    <comment ref="B2" authorId="0" shapeId="0">
      <text>
        <t>Enter the Sunday date of the week you are reporting (e.g., 2026-03-15). WoW comparison formulas reference this cell.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tabColor rgb="006AA84F"/>
    <outlinePr summaryBelow="1" summaryRight="1"/>
    <pageSetUpPr/>
  </sheetPr>
  <dimension ref="A1:B54"/>
  <sheetViews>
    <sheetView workbookViewId="0">
      <pane ySplit="1" topLeftCell="A2" activePane="bottomLeft" state="frozen"/>
      <selection pane="bottomLeft" activeCell="A1" sqref="A1"/>
    </sheetView>
  </sheetViews>
  <sheetFormatPr baseColWidth="8" defaultRowHeight="15"/>
  <cols>
    <col width="80" customWidth="1" min="1" max="1"/>
    <col width="20" customWidth="1" min="2" max="2"/>
  </cols>
  <sheetData>
    <row r="1" ht="30" customHeight="1">
      <c r="A1" s="1" t="inlineStr">
        <is>
          <t>Rez Weekly Report — Instructions</t>
        </is>
      </c>
    </row>
    <row r="2" ht="18" customHeight="1">
      <c r="A2" s="2" t="inlineStr"/>
    </row>
    <row r="3" ht="40" customHeight="1">
      <c r="A3" s="2" t="inlineStr">
        <is>
          <t>IMPORTANT: Column headers in each import tab are PLACEHOLDERS. After your first CSV export from each platform, update the header row in each import tab to match your actual column names. The formulas use MATCH() on these headers — they must match exactly.</t>
        </is>
      </c>
    </row>
    <row r="4" ht="18" customHeight="1">
      <c r="A4" s="2" t="inlineStr"/>
    </row>
    <row r="5" ht="20" customHeight="1">
      <c r="A5" s="3" t="inlineStr">
        <is>
          <t>WEEKLY CADENCE</t>
        </is>
      </c>
    </row>
    <row r="6" ht="40" customHeight="1">
      <c r="A6" s="2" t="inlineStr">
        <is>
          <t>Every Monday morning: clear last week's data from each import tab (delete rows 3 and below — keep rows 1 and 2), paste new CSVs, then check the Summary tab.</t>
        </is>
      </c>
    </row>
    <row r="7" ht="18" customHeight="1">
      <c r="A7" s="2" t="inlineStr"/>
    </row>
    <row r="8" ht="20" customHeight="1">
      <c r="A8" s="3" t="inlineStr">
        <is>
          <t>HOW TO EXPORT &amp; PASTE — SQUARE</t>
        </is>
      </c>
    </row>
    <row r="9" ht="18" customHeight="1">
      <c r="A9" s="2" t="inlineStr">
        <is>
          <t>1. Log into Square Dashboard</t>
        </is>
      </c>
    </row>
    <row r="10" ht="18" customHeight="1">
      <c r="A10" s="2" t="inlineStr">
        <is>
          <t>2. Go to: Reports &gt; Sales Summary</t>
        </is>
      </c>
    </row>
    <row r="11" ht="18" customHeight="1">
      <c r="A11" s="2" t="inlineStr">
        <is>
          <t>3. Select date range: Mon–Sun of the week you are reporting</t>
        </is>
      </c>
    </row>
    <row r="12" ht="18" customHeight="1">
      <c r="A12" s="2" t="inlineStr">
        <is>
          <t>4. Click 'Export CSV'</t>
        </is>
      </c>
    </row>
    <row r="13" ht="18" customHeight="1">
      <c r="A13" s="2" t="inlineStr">
        <is>
          <t>5. Open the CSV, select all, copy</t>
        </is>
      </c>
    </row>
    <row r="14" ht="18" customHeight="1">
      <c r="A14" s="2" t="inlineStr">
        <is>
          <t>6. Click into cell A3 of the Square-Import tab in this workbook</t>
        </is>
      </c>
    </row>
    <row r="15" ht="18" customHeight="1">
      <c r="A15" s="2" t="inlineStr">
        <is>
          <t>7. Paste (do not paste with formatting — plain paste only)</t>
        </is>
      </c>
    </row>
    <row r="16" ht="18" customHeight="1">
      <c r="A16" s="2" t="inlineStr"/>
    </row>
    <row r="17" ht="20" customHeight="1">
      <c r="A17" s="3" t="inlineStr">
        <is>
          <t>HOW TO EXPORT &amp; PASTE — DOORDASH</t>
        </is>
      </c>
    </row>
    <row r="18" ht="18" customHeight="1">
      <c r="A18" s="2" t="inlineStr">
        <is>
          <t>1. Log into DoorDash Merchant Portal</t>
        </is>
      </c>
    </row>
    <row r="19" ht="18" customHeight="1">
      <c r="A19" s="2" t="inlineStr">
        <is>
          <t>2. Go to: Financials &gt; Report Builder</t>
        </is>
      </c>
    </row>
    <row r="20" ht="18" customHeight="1">
      <c r="A20" s="2" t="inlineStr">
        <is>
          <t>3. Select the week you are reporting (Monday to Sunday)</t>
        </is>
      </c>
    </row>
    <row r="21" ht="18" customHeight="1">
      <c r="A21" s="2" t="inlineStr">
        <is>
          <t>4. Download CSV</t>
        </is>
      </c>
    </row>
    <row r="22" ht="18" customHeight="1">
      <c r="A22" s="2" t="inlineStr">
        <is>
          <t>5. Open the CSV, select all, copy</t>
        </is>
      </c>
    </row>
    <row r="23" ht="18" customHeight="1">
      <c r="A23" s="2" t="inlineStr">
        <is>
          <t>6. Click into cell A3 of the DoorDash-Import tab</t>
        </is>
      </c>
    </row>
    <row r="24" ht="18" customHeight="1">
      <c r="A24" s="2" t="inlineStr">
        <is>
          <t>7. Paste (plain paste only)</t>
        </is>
      </c>
    </row>
    <row r="25" ht="18" customHeight="1">
      <c r="A25" s="2" t="inlineStr"/>
    </row>
    <row r="26" ht="20" customHeight="1">
      <c r="A26" s="3" t="inlineStr">
        <is>
          <t>HOW TO EXPORT &amp; PASTE — UBER EATS</t>
        </is>
      </c>
    </row>
    <row r="27" ht="18" customHeight="1">
      <c r="A27" s="2" t="inlineStr">
        <is>
          <t>1. Log into Uber Eats Manager</t>
        </is>
      </c>
    </row>
    <row r="28" ht="18" customHeight="1">
      <c r="A28" s="2" t="inlineStr">
        <is>
          <t>2. Go to: Analytics &gt; Reports</t>
        </is>
      </c>
    </row>
    <row r="29" ht="18" customHeight="1">
      <c r="A29" s="2" t="inlineStr">
        <is>
          <t>3. Select 'Download Report' and choose the reporting week</t>
        </is>
      </c>
    </row>
    <row r="30" ht="18" customHeight="1">
      <c r="A30" s="2" t="inlineStr">
        <is>
          <t>4. Open the CSV, select all, copy</t>
        </is>
      </c>
    </row>
    <row r="31" ht="18" customHeight="1">
      <c r="A31" s="2" t="inlineStr">
        <is>
          <t>5. Click into cell A3 of the UberEats-Import tab</t>
        </is>
      </c>
    </row>
    <row r="32" ht="18" customHeight="1">
      <c r="A32" s="2" t="inlineStr">
        <is>
          <t>6. Paste (plain paste only)</t>
        </is>
      </c>
    </row>
    <row r="33" ht="18" customHeight="1">
      <c r="A33" s="2" t="inlineStr"/>
    </row>
    <row r="34" ht="20" customHeight="1">
      <c r="A34" s="3" t="inlineStr">
        <is>
          <t>HOW TO EXPORT &amp; PASTE — GRUBHUB</t>
        </is>
      </c>
    </row>
    <row r="35" ht="18" customHeight="1">
      <c r="A35" s="2" t="inlineStr">
        <is>
          <t>1. Log into Grubhub Restaurant Hub</t>
        </is>
      </c>
    </row>
    <row r="36" ht="18" customHeight="1">
      <c r="A36" s="2" t="inlineStr">
        <is>
          <t>2. Go to: Reports</t>
        </is>
      </c>
    </row>
    <row r="37" ht="18" customHeight="1">
      <c r="A37" s="2" t="inlineStr">
        <is>
          <t>3. Select the week and click 'Export'</t>
        </is>
      </c>
    </row>
    <row r="38" ht="18" customHeight="1">
      <c r="A38" s="2" t="inlineStr">
        <is>
          <t>4. Open the CSV, select all, copy</t>
        </is>
      </c>
    </row>
    <row r="39" ht="18" customHeight="1">
      <c r="A39" s="2" t="inlineStr">
        <is>
          <t>5. Click into cell A3 of the Grubhub-Import tab</t>
        </is>
      </c>
    </row>
    <row r="40" ht="18" customHeight="1">
      <c r="A40" s="2" t="inlineStr">
        <is>
          <t>6. Paste (plain paste only)</t>
        </is>
      </c>
    </row>
    <row r="41" ht="40" customHeight="1">
      <c r="A41" s="2" t="inlineStr">
        <is>
          <t>NOTE: Grubhub payouts are sometimes delayed 7–10 days. If the Grubhub column shows $0 on Monday, that is normal — check back Tuesday or Wednesday and update the Last Updated cell in the Grubhub-Import tab.</t>
        </is>
      </c>
    </row>
    <row r="42" ht="18" customHeight="1">
      <c r="A42" s="2" t="inlineStr"/>
    </row>
    <row r="43" ht="20" customHeight="1">
      <c r="A43" s="3" t="inlineStr">
        <is>
          <t>HOW TO EXPORT &amp; PASTE — BEK ENTREE</t>
        </is>
      </c>
    </row>
    <row r="44" ht="18" customHeight="1">
      <c r="A44" s="2" t="inlineStr">
        <is>
          <t>1. Log into BEK Entree Portal</t>
        </is>
      </c>
    </row>
    <row r="45" ht="18" customHeight="1">
      <c r="A45" s="2" t="inlineStr">
        <is>
          <t>2. Go to: Order History &gt; Export Invoice CSV</t>
        </is>
      </c>
    </row>
    <row r="46" ht="18" customHeight="1">
      <c r="A46" s="2" t="inlineStr">
        <is>
          <t>3. Select date range matching your reporting week</t>
        </is>
      </c>
    </row>
    <row r="47" ht="18" customHeight="1">
      <c r="A47" s="2" t="inlineStr">
        <is>
          <t>4. Open the CSV, select all, copy</t>
        </is>
      </c>
    </row>
    <row r="48" ht="18" customHeight="1">
      <c r="A48" s="2" t="inlineStr">
        <is>
          <t>5. Click into cell A3 of the BEK-Import tab</t>
        </is>
      </c>
    </row>
    <row r="49" ht="18" customHeight="1">
      <c r="A49" s="2" t="inlineStr">
        <is>
          <t>6. Paste (plain paste only)</t>
        </is>
      </c>
    </row>
    <row r="50" ht="18" customHeight="1">
      <c r="A50" s="2" t="inlineStr"/>
    </row>
    <row r="51" ht="20" customHeight="1">
      <c r="A51" s="3" t="inlineStr">
        <is>
          <t>TROUBLESHOOTING</t>
        </is>
      </c>
    </row>
    <row r="52" ht="40" customHeight="1">
      <c r="A52" s="2" t="inlineStr">
        <is>
          <t>If you see $0 or ERROR in the Summary tab, check the validation row (row 2) in each import tab. A red cell in row 2 means that column did not paste as a number — the data came in as text. Try pasting again without formatting, or paste into Notepad first and re-copy to strip formatting.</t>
        </is>
      </c>
    </row>
    <row r="53" ht="18" customHeight="1">
      <c r="A53" s="2" t="inlineStr"/>
    </row>
    <row r="54" ht="40" customHeight="1">
      <c r="A54" s="2" t="inlineStr">
        <is>
          <t>If MATCH column errors (#N/A) appear, the column header in the import tab does not match the header in your CSV export. Update row 1 of the import tab to match the exact column name in your CSV file.</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4A86C8"/>
    <outlinePr summaryBelow="1" summaryRight="1"/>
    <pageSetUpPr/>
  </sheetPr>
  <dimension ref="A1:I30"/>
  <sheetViews>
    <sheetView workbookViewId="0">
      <pane ySplit="2" topLeftCell="A3" activePane="bottomLeft" state="frozen"/>
      <selection pane="bottomLeft" activeCell="A1" sqref="A1"/>
    </sheetView>
  </sheetViews>
  <sheetFormatPr baseColWidth="8" defaultRowHeight="15"/>
  <cols>
    <col width="10" customWidth="1" min="1" max="1"/>
    <col width="12" customWidth="1" min="2" max="2"/>
    <col width="12" customWidth="1" min="3" max="3"/>
    <col width="13" customWidth="1" min="4" max="4"/>
    <col width="15" customWidth="1" min="5" max="5"/>
    <col width="13" customWidth="1" min="6" max="6"/>
    <col width="10" customWidth="1" min="7" max="7"/>
    <col width="10" customWidth="1" min="8" max="8"/>
    <col width="11" customWidth="1" min="9" max="9"/>
  </cols>
  <sheetData>
    <row r="1" ht="20" customHeight="1">
      <c r="A1" s="4" t="inlineStr">
        <is>
          <t>PLACEHOLDER HEADERS — Update row 2 to match your actual CSV export column names exactly.</t>
        </is>
      </c>
    </row>
    <row r="2">
      <c r="A2" s="5" t="inlineStr">
        <is>
          <t>Date</t>
        </is>
      </c>
      <c r="B2" s="5" t="inlineStr">
        <is>
          <t>Location</t>
        </is>
      </c>
      <c r="C2" s="5" t="inlineStr">
        <is>
          <t>Category</t>
        </is>
      </c>
      <c r="D2" s="5" t="inlineStr">
        <is>
          <t>Net Sales</t>
        </is>
      </c>
      <c r="E2" s="5" t="inlineStr">
        <is>
          <t>Gross Sales</t>
        </is>
      </c>
      <c r="F2" s="5" t="inlineStr">
        <is>
          <t>Discounts</t>
        </is>
      </c>
      <c r="G2" s="5" t="inlineStr">
        <is>
          <t>Tax</t>
        </is>
      </c>
      <c r="H2" s="5" t="inlineStr">
        <is>
          <t>Tips</t>
        </is>
      </c>
      <c r="I2" s="5" t="inlineStr">
        <is>
          <t>Refunds</t>
        </is>
      </c>
    </row>
    <row r="3" ht="22" customHeight="1">
      <c r="A3" s="6" t="inlineStr">
        <is>
          <t>[Date — text/date]</t>
        </is>
      </c>
      <c r="B3" s="6" t="inlineStr">
        <is>
          <t>[Location — text/date]</t>
        </is>
      </c>
      <c r="C3" s="6" t="inlineStr">
        <is>
          <t>[Category — text/date]</t>
        </is>
      </c>
      <c r="D3" s="7">
        <f>IF(ISNUMBER(INDEX(Square-Import!A:Z,4,MATCH("Net Sales",Square-Import!2:2,0))),"OK","PASTE ERROR - Net Sales is not a number")</f>
        <v/>
      </c>
      <c r="E3" s="7">
        <f>IF(ISNUMBER(INDEX(Square-Import!A:Z,4,MATCH("Gross Sales",Square-Import!2:2,0))),"OK","PASTE ERROR - Gross Sales is not a number")</f>
        <v/>
      </c>
      <c r="F3" s="6" t="inlineStr">
        <is>
          <t>[Discounts — text/date]</t>
        </is>
      </c>
      <c r="G3" s="6" t="inlineStr">
        <is>
          <t>[Tax — text/date]</t>
        </is>
      </c>
      <c r="H3" s="6" t="inlineStr">
        <is>
          <t>[Tips — text/date]</t>
        </is>
      </c>
      <c r="I3" s="6" t="inlineStr">
        <is>
          <t>[Refunds — text/date]</t>
        </is>
      </c>
    </row>
    <row r="4">
      <c r="A4" s="8" t="inlineStr">
        <is>
          <t>2026-03-09</t>
        </is>
      </c>
      <c r="B4" s="8" t="inlineStr">
        <is>
          <t>Moto Medi Lubbock</t>
        </is>
      </c>
      <c r="C4" s="8" t="inlineStr">
        <is>
          <t>Food &amp; Drink</t>
        </is>
      </c>
      <c r="D4" s="8" t="n">
        <v>1840</v>
      </c>
      <c r="E4" s="8" t="n">
        <v>1950</v>
      </c>
      <c r="F4" s="8" t="n">
        <v>55</v>
      </c>
      <c r="G4" s="8" t="n">
        <v>152.1</v>
      </c>
      <c r="H4" s="8" t="n">
        <v>0</v>
      </c>
      <c r="I4" s="8" t="n">
        <v>15</v>
      </c>
    </row>
    <row r="5">
      <c r="A5" s="9" t="inlineStr">
        <is>
          <t>2026-03-10</t>
        </is>
      </c>
      <c r="B5" s="9" t="inlineStr">
        <is>
          <t>Moto Medi Lubbock</t>
        </is>
      </c>
      <c r="C5" s="9" t="inlineStr">
        <is>
          <t>Food &amp; Drink</t>
        </is>
      </c>
      <c r="D5" s="9" t="n">
        <v>2120.5</v>
      </c>
      <c r="E5" s="9" t="n">
        <v>2230</v>
      </c>
      <c r="F5" s="9" t="n">
        <v>42</v>
      </c>
      <c r="G5" s="9" t="n">
        <v>175.32</v>
      </c>
      <c r="H5" s="9" t="n">
        <v>0</v>
      </c>
      <c r="I5" s="9" t="n">
        <v>12.5</v>
      </c>
    </row>
    <row r="6">
      <c r="A6" s="8" t="inlineStr">
        <is>
          <t>2026-03-11</t>
        </is>
      </c>
      <c r="B6" s="8" t="inlineStr">
        <is>
          <t>Moto Medi Lubbock</t>
        </is>
      </c>
      <c r="C6" s="8" t="inlineStr">
        <is>
          <t>Food &amp; Drink</t>
        </is>
      </c>
      <c r="D6" s="8" t="n">
        <v>2340</v>
      </c>
      <c r="E6" s="8" t="n">
        <v>2450</v>
      </c>
      <c r="F6" s="8" t="n">
        <v>60</v>
      </c>
      <c r="G6" s="8" t="n">
        <v>193.62</v>
      </c>
      <c r="H6" s="8" t="n">
        <v>0</v>
      </c>
      <c r="I6" s="8" t="n">
        <v>50</v>
      </c>
    </row>
    <row r="7">
      <c r="A7" s="9" t="inlineStr">
        <is>
          <t>2026-03-12</t>
        </is>
      </c>
      <c r="B7" s="9" t="inlineStr">
        <is>
          <t>Moto Medi Lubbock</t>
        </is>
      </c>
      <c r="C7" s="9" t="inlineStr">
        <is>
          <t>Food &amp; Drink</t>
        </is>
      </c>
      <c r="D7" s="9" t="n">
        <v>2050.75</v>
      </c>
      <c r="E7" s="9" t="n">
        <v>2160</v>
      </c>
      <c r="F7" s="9" t="n">
        <v>55.25</v>
      </c>
      <c r="G7" s="9" t="n">
        <v>169.7</v>
      </c>
      <c r="H7" s="9" t="n">
        <v>0</v>
      </c>
      <c r="I7" s="9" t="n">
        <v>29.25</v>
      </c>
    </row>
    <row r="8">
      <c r="A8" s="8" t="inlineStr">
        <is>
          <t>2026-03-13</t>
        </is>
      </c>
      <c r="B8" s="8" t="inlineStr">
        <is>
          <t>Moto Medi Lubbock</t>
        </is>
      </c>
      <c r="C8" s="8" t="inlineStr">
        <is>
          <t>Food &amp; Drink</t>
        </is>
      </c>
      <c r="D8" s="8" t="n">
        <v>2490</v>
      </c>
      <c r="E8" s="8" t="n">
        <v>2610</v>
      </c>
      <c r="F8" s="8" t="n">
        <v>70</v>
      </c>
      <c r="G8" s="8" t="n">
        <v>205.93</v>
      </c>
      <c r="H8" s="8" t="n">
        <v>0</v>
      </c>
      <c r="I8" s="8" t="n">
        <v>30</v>
      </c>
    </row>
    <row r="9">
      <c r="A9" s="9" t="inlineStr">
        <is>
          <t>2026-03-09</t>
        </is>
      </c>
      <c r="B9" s="9" t="inlineStr">
        <is>
          <t>Moto Medi Amarillo</t>
        </is>
      </c>
      <c r="C9" s="9" t="inlineStr">
        <is>
          <t>Food &amp; Drink</t>
        </is>
      </c>
      <c r="D9" s="9" t="n">
        <v>1540</v>
      </c>
      <c r="E9" s="9" t="n">
        <v>1640</v>
      </c>
      <c r="F9" s="9" t="n">
        <v>45</v>
      </c>
      <c r="G9" s="9" t="n">
        <v>127.41</v>
      </c>
      <c r="H9" s="9" t="n">
        <v>0</v>
      </c>
      <c r="I9" s="9" t="n">
        <v>10</v>
      </c>
    </row>
    <row r="10">
      <c r="A10" s="8" t="inlineStr">
        <is>
          <t>2026-03-10</t>
        </is>
      </c>
      <c r="B10" s="8" t="inlineStr">
        <is>
          <t>Moto Medi Amarillo</t>
        </is>
      </c>
      <c r="C10" s="8" t="inlineStr">
        <is>
          <t>Food &amp; Drink</t>
        </is>
      </c>
      <c r="D10" s="8" t="n">
        <v>1680.25</v>
      </c>
      <c r="E10" s="8" t="n">
        <v>1790</v>
      </c>
      <c r="F10" s="8" t="n">
        <v>60</v>
      </c>
      <c r="G10" s="8" t="n">
        <v>139.04</v>
      </c>
      <c r="H10" s="8" t="n">
        <v>0</v>
      </c>
      <c r="I10" s="8" t="n">
        <v>29.75</v>
      </c>
    </row>
    <row r="11">
      <c r="A11" s="9" t="inlineStr">
        <is>
          <t>2026-03-11</t>
        </is>
      </c>
      <c r="B11" s="9" t="inlineStr">
        <is>
          <t>Moto Medi Amarillo</t>
        </is>
      </c>
      <c r="C11" s="9" t="inlineStr">
        <is>
          <t>Food &amp; Drink</t>
        </is>
      </c>
      <c r="D11" s="9" t="n">
        <v>1820</v>
      </c>
      <c r="E11" s="9" t="n">
        <v>1940</v>
      </c>
      <c r="F11" s="9" t="n">
        <v>65</v>
      </c>
      <c r="G11" s="9" t="n">
        <v>150.56</v>
      </c>
      <c r="H11" s="9" t="n">
        <v>0</v>
      </c>
      <c r="I11" s="9" t="n">
        <v>20</v>
      </c>
    </row>
    <row r="12">
      <c r="A12" s="8" t="inlineStr">
        <is>
          <t>2026-03-12</t>
        </is>
      </c>
      <c r="B12" s="8" t="inlineStr">
        <is>
          <t>Moto Medi Amarillo</t>
        </is>
      </c>
      <c r="C12" s="8" t="inlineStr">
        <is>
          <t>Food &amp; Drink</t>
        </is>
      </c>
      <c r="D12" s="8" t="n">
        <v>1590.5</v>
      </c>
      <c r="E12" s="8" t="n">
        <v>1690</v>
      </c>
      <c r="F12" s="8" t="n">
        <v>50</v>
      </c>
      <c r="G12" s="8" t="n">
        <v>131.54</v>
      </c>
      <c r="H12" s="8" t="n">
        <v>0</v>
      </c>
      <c r="I12" s="8" t="n">
        <v>19.5</v>
      </c>
    </row>
    <row r="13">
      <c r="A13" s="9" t="inlineStr">
        <is>
          <t>2026-03-13</t>
        </is>
      </c>
      <c r="B13" s="9" t="inlineStr">
        <is>
          <t>Moto Medi Amarillo</t>
        </is>
      </c>
      <c r="C13" s="9" t="inlineStr">
        <is>
          <t>Food &amp; Drink</t>
        </is>
      </c>
      <c r="D13" s="9" t="n">
        <v>1920</v>
      </c>
      <c r="E13" s="9" t="n">
        <v>2040</v>
      </c>
      <c r="F13" s="9" t="n">
        <v>70</v>
      </c>
      <c r="G13" s="9" t="n">
        <v>158.88</v>
      </c>
      <c r="H13" s="9" t="n">
        <v>0</v>
      </c>
      <c r="I13" s="9" t="n">
        <v>20</v>
      </c>
    </row>
    <row r="14">
      <c r="A14" s="8" t="inlineStr">
        <is>
          <t>2026-03-09</t>
        </is>
      </c>
      <c r="B14" s="8" t="inlineStr">
        <is>
          <t>Moto Medi 3rd</t>
        </is>
      </c>
      <c r="C14" s="8" t="inlineStr">
        <is>
          <t>Food &amp; Drink</t>
        </is>
      </c>
      <c r="D14" s="8" t="n">
        <v>1240</v>
      </c>
      <c r="E14" s="8" t="n">
        <v>1320</v>
      </c>
      <c r="F14" s="8" t="n">
        <v>35</v>
      </c>
      <c r="G14" s="8" t="n">
        <v>102.59</v>
      </c>
      <c r="H14" s="8" t="n">
        <v>0</v>
      </c>
      <c r="I14" s="8" t="n">
        <v>10</v>
      </c>
    </row>
    <row r="15">
      <c r="A15" s="9" t="inlineStr">
        <is>
          <t>2026-03-10</t>
        </is>
      </c>
      <c r="B15" s="9" t="inlineStr">
        <is>
          <t>Moto Medi 3rd</t>
        </is>
      </c>
      <c r="C15" s="9" t="inlineStr">
        <is>
          <t>Food &amp; Drink</t>
        </is>
      </c>
      <c r="D15" s="9" t="n">
        <v>1380.5</v>
      </c>
      <c r="E15" s="9" t="n">
        <v>1470</v>
      </c>
      <c r="F15" s="9" t="n">
        <v>40</v>
      </c>
      <c r="G15" s="9" t="n">
        <v>114.16</v>
      </c>
      <c r="H15" s="9" t="n">
        <v>0</v>
      </c>
      <c r="I15" s="9" t="n">
        <v>19.5</v>
      </c>
    </row>
    <row r="16">
      <c r="A16" s="8" t="inlineStr">
        <is>
          <t>2026-03-11</t>
        </is>
      </c>
      <c r="B16" s="8" t="inlineStr">
        <is>
          <t>Moto Medi 3rd</t>
        </is>
      </c>
      <c r="C16" s="8" t="inlineStr">
        <is>
          <t>Food &amp; Drink</t>
        </is>
      </c>
      <c r="D16" s="8" t="n">
        <v>1450</v>
      </c>
      <c r="E16" s="8" t="n">
        <v>1540</v>
      </c>
      <c r="F16" s="8" t="n">
        <v>42</v>
      </c>
      <c r="G16" s="8" t="n">
        <v>119.93</v>
      </c>
      <c r="H16" s="8" t="n">
        <v>0</v>
      </c>
      <c r="I16" s="8" t="n">
        <v>22</v>
      </c>
    </row>
    <row r="17">
      <c r="A17" s="9" t="inlineStr">
        <is>
          <t>2026-03-12</t>
        </is>
      </c>
      <c r="B17" s="9" t="inlineStr">
        <is>
          <t>Moto Medi 3rd</t>
        </is>
      </c>
      <c r="C17" s="9" t="inlineStr">
        <is>
          <t>Food &amp; Drink</t>
        </is>
      </c>
      <c r="D17" s="9" t="n">
        <v>1310.75</v>
      </c>
      <c r="E17" s="9" t="n">
        <v>1400</v>
      </c>
      <c r="F17" s="9" t="n">
        <v>38.25</v>
      </c>
      <c r="G17" s="9" t="n">
        <v>108.39</v>
      </c>
      <c r="H17" s="9" t="n">
        <v>0</v>
      </c>
      <c r="I17" s="9" t="n">
        <v>20.25</v>
      </c>
    </row>
    <row r="18">
      <c r="A18" s="8" t="inlineStr">
        <is>
          <t>2026-03-13</t>
        </is>
      </c>
      <c r="B18" s="8" t="inlineStr">
        <is>
          <t>Moto Medi 3rd</t>
        </is>
      </c>
      <c r="C18" s="8" t="inlineStr">
        <is>
          <t>Food &amp; Drink</t>
        </is>
      </c>
      <c r="D18" s="8" t="n">
        <v>1520</v>
      </c>
      <c r="E18" s="8" t="n">
        <v>1610</v>
      </c>
      <c r="F18" s="8" t="n">
        <v>45</v>
      </c>
      <c r="G18" s="8" t="n">
        <v>125.65</v>
      </c>
      <c r="H18" s="8" t="n">
        <v>0</v>
      </c>
      <c r="I18" s="8" t="n">
        <v>20</v>
      </c>
    </row>
    <row r="19">
      <c r="A19" s="9" t="inlineStr">
        <is>
          <t>2026-03-09</t>
        </is>
      </c>
      <c r="B19" s="9" t="inlineStr">
        <is>
          <t>Tikka Shack 1</t>
        </is>
      </c>
      <c r="C19" s="9" t="inlineStr">
        <is>
          <t>Food &amp; Drink</t>
        </is>
      </c>
      <c r="D19" s="9" t="n">
        <v>1090</v>
      </c>
      <c r="E19" s="9" t="n">
        <v>1160</v>
      </c>
      <c r="F19" s="9" t="n">
        <v>30</v>
      </c>
      <c r="G19" s="9" t="n">
        <v>90.19</v>
      </c>
      <c r="H19" s="9" t="n">
        <v>0</v>
      </c>
      <c r="I19" s="9" t="n">
        <v>10</v>
      </c>
    </row>
    <row r="20">
      <c r="A20" s="8" t="inlineStr">
        <is>
          <t>2026-03-10</t>
        </is>
      </c>
      <c r="B20" s="8" t="inlineStr">
        <is>
          <t>Tikka Shack 1</t>
        </is>
      </c>
      <c r="C20" s="8" t="inlineStr">
        <is>
          <t>Food &amp; Drink</t>
        </is>
      </c>
      <c r="D20" s="8" t="n">
        <v>1210.5</v>
      </c>
      <c r="E20" s="8" t="n">
        <v>1290</v>
      </c>
      <c r="F20" s="8" t="n">
        <v>35</v>
      </c>
      <c r="G20" s="8" t="n">
        <v>100.12</v>
      </c>
      <c r="H20" s="8" t="n">
        <v>0</v>
      </c>
      <c r="I20" s="8" t="n">
        <v>14.5</v>
      </c>
    </row>
    <row r="21">
      <c r="A21" s="9" t="inlineStr">
        <is>
          <t>2026-03-11</t>
        </is>
      </c>
      <c r="B21" s="9" t="inlineStr">
        <is>
          <t>Tikka Shack 1</t>
        </is>
      </c>
      <c r="C21" s="9" t="inlineStr">
        <is>
          <t>Food &amp; Drink</t>
        </is>
      </c>
      <c r="D21" s="9" t="n">
        <v>1320</v>
      </c>
      <c r="E21" s="9" t="n">
        <v>1400</v>
      </c>
      <c r="F21" s="9" t="n">
        <v>40</v>
      </c>
      <c r="G21" s="9" t="n">
        <v>109.14</v>
      </c>
      <c r="H21" s="9" t="n">
        <v>0</v>
      </c>
      <c r="I21" s="9" t="n">
        <v>20</v>
      </c>
    </row>
    <row r="22">
      <c r="A22" s="8" t="inlineStr">
        <is>
          <t>2026-03-12</t>
        </is>
      </c>
      <c r="B22" s="8" t="inlineStr">
        <is>
          <t>Tikka Shack 1</t>
        </is>
      </c>
      <c r="C22" s="8" t="inlineStr">
        <is>
          <t>Food &amp; Drink</t>
        </is>
      </c>
      <c r="D22" s="8" t="n">
        <v>1150.25</v>
      </c>
      <c r="E22" s="8" t="n">
        <v>1230</v>
      </c>
      <c r="F22" s="8" t="n">
        <v>32</v>
      </c>
      <c r="G22" s="8" t="n">
        <v>95.09</v>
      </c>
      <c r="H22" s="8" t="n">
        <v>0</v>
      </c>
      <c r="I22" s="8" t="n">
        <v>17.75</v>
      </c>
    </row>
    <row r="23">
      <c r="A23" s="9" t="inlineStr">
        <is>
          <t>2026-03-13</t>
        </is>
      </c>
      <c r="B23" s="9" t="inlineStr">
        <is>
          <t>Tikka Shack 1</t>
        </is>
      </c>
      <c r="C23" s="9" t="inlineStr">
        <is>
          <t>Food &amp; Drink</t>
        </is>
      </c>
      <c r="D23" s="9" t="n">
        <v>1390</v>
      </c>
      <c r="E23" s="9" t="n">
        <v>1480</v>
      </c>
      <c r="F23" s="9" t="n">
        <v>42</v>
      </c>
      <c r="G23" s="9" t="n">
        <v>114.94</v>
      </c>
      <c r="H23" s="9" t="n">
        <v>0</v>
      </c>
      <c r="I23" s="9" t="n">
        <v>18</v>
      </c>
    </row>
    <row r="24">
      <c r="A24" s="8" t="inlineStr">
        <is>
          <t>2026-03-09</t>
        </is>
      </c>
      <c r="B24" s="8" t="inlineStr">
        <is>
          <t>Tikka Shack 2</t>
        </is>
      </c>
      <c r="C24" s="8" t="inlineStr">
        <is>
          <t>Food &amp; Drink</t>
        </is>
      </c>
      <c r="D24" s="8" t="n">
        <v>980</v>
      </c>
      <c r="E24" s="8" t="n">
        <v>1050</v>
      </c>
      <c r="F24" s="8" t="n">
        <v>28</v>
      </c>
      <c r="G24" s="8" t="n">
        <v>81.03</v>
      </c>
      <c r="H24" s="8" t="n">
        <v>0</v>
      </c>
      <c r="I24" s="8" t="n">
        <v>10</v>
      </c>
    </row>
    <row r="25">
      <c r="A25" s="9" t="inlineStr">
        <is>
          <t>2026-03-10</t>
        </is>
      </c>
      <c r="B25" s="9" t="inlineStr">
        <is>
          <t>Tikka Shack 2</t>
        </is>
      </c>
      <c r="C25" s="9" t="inlineStr">
        <is>
          <t>Food &amp; Drink</t>
        </is>
      </c>
      <c r="D25" s="9" t="n">
        <v>1060.25</v>
      </c>
      <c r="E25" s="9" t="n">
        <v>1130</v>
      </c>
      <c r="F25" s="9" t="n">
        <v>30</v>
      </c>
      <c r="G25" s="9" t="n">
        <v>87.69</v>
      </c>
      <c r="H25" s="9" t="n">
        <v>0</v>
      </c>
      <c r="I25" s="9" t="n">
        <v>19.75</v>
      </c>
    </row>
    <row r="26">
      <c r="A26" s="8" t="inlineStr">
        <is>
          <t>2026-03-11</t>
        </is>
      </c>
      <c r="B26" s="8" t="inlineStr">
        <is>
          <t>Tikka Shack 2</t>
        </is>
      </c>
      <c r="C26" s="8" t="inlineStr">
        <is>
          <t>Food &amp; Drink</t>
        </is>
      </c>
      <c r="D26" s="8" t="n">
        <v>1180</v>
      </c>
      <c r="E26" s="8" t="n">
        <v>1260</v>
      </c>
      <c r="F26" s="8" t="n">
        <v>35</v>
      </c>
      <c r="G26" s="8" t="n">
        <v>97.58</v>
      </c>
      <c r="H26" s="8" t="n">
        <v>0</v>
      </c>
      <c r="I26" s="8" t="n">
        <v>15</v>
      </c>
    </row>
    <row r="27">
      <c r="A27" s="9" t="inlineStr">
        <is>
          <t>2026-03-12</t>
        </is>
      </c>
      <c r="B27" s="9" t="inlineStr">
        <is>
          <t>Tikka Shack 2</t>
        </is>
      </c>
      <c r="C27" s="9" t="inlineStr">
        <is>
          <t>Food &amp; Drink</t>
        </is>
      </c>
      <c r="D27" s="9" t="n">
        <v>1020.5</v>
      </c>
      <c r="E27" s="9" t="n">
        <v>1090</v>
      </c>
      <c r="F27" s="9" t="n">
        <v>29.5</v>
      </c>
      <c r="G27" s="9" t="n">
        <v>84.3</v>
      </c>
      <c r="H27" s="9" t="n">
        <v>0</v>
      </c>
      <c r="I27" s="9" t="n">
        <v>20</v>
      </c>
    </row>
    <row r="28">
      <c r="A28" s="8" t="inlineStr">
        <is>
          <t>2026-03-13</t>
        </is>
      </c>
      <c r="B28" s="8" t="inlineStr">
        <is>
          <t>Tikka Shack 2</t>
        </is>
      </c>
      <c r="C28" s="8" t="inlineStr">
        <is>
          <t>Food &amp; Drink</t>
        </is>
      </c>
      <c r="D28" s="8" t="n">
        <v>1140</v>
      </c>
      <c r="E28" s="8" t="n">
        <v>1220</v>
      </c>
      <c r="F28" s="8" t="n">
        <v>33</v>
      </c>
      <c r="G28" s="8" t="n">
        <v>94.25</v>
      </c>
      <c r="H28" s="8" t="n">
        <v>0</v>
      </c>
      <c r="I28" s="8" t="n">
        <v>13</v>
      </c>
    </row>
    <row r="30">
      <c r="A30" s="10" t="inlineStr">
        <is>
          <t>Last Updated:</t>
        </is>
      </c>
      <c r="B30" s="11" t="inlineStr"/>
    </row>
  </sheetData>
  <mergeCells count="1">
    <mergeCell ref="A1:I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conditionalFormatting sqref="H3">
    <cfRule type="expression" priority="8" dxfId="0" stopIfTrue="0">
      <formula>=H3="OK"</formula>
    </cfRule>
  </conditionalFormatting>
  <conditionalFormatting sqref="I3">
    <cfRule type="expression" priority="9" dxfId="0" stopIfTrue="0">
      <formula>=I3="OK"</formula>
    </cfRule>
  </conditionalFormatting>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4A86C8"/>
    <outlinePr summaryBelow="1" summaryRight="1"/>
    <pageSetUpPr/>
  </sheetPr>
  <dimension ref="A1:G30"/>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2" customWidth="1" min="3" max="3"/>
    <col width="14" customWidth="1" min="4" max="4"/>
    <col width="14" customWidth="1" min="5" max="5"/>
    <col width="15" customWidth="1" min="6" max="6"/>
    <col width="19" customWidth="1" min="7" max="7"/>
  </cols>
  <sheetData>
    <row r="1" ht="20" customHeight="1">
      <c r="A1" s="4" t="inlineStr">
        <is>
          <t>PLACEHOLDER HEADERS — Update row 2 to match your actual CSV export column names exactly.</t>
        </is>
      </c>
    </row>
    <row r="2">
      <c r="A2" s="5" t="inlineStr">
        <is>
          <t>Date</t>
        </is>
      </c>
      <c r="B2" s="5" t="inlineStr">
        <is>
          <t>Store Name</t>
        </is>
      </c>
      <c r="C2" s="5" t="inlineStr">
        <is>
          <t>Subtotal</t>
        </is>
      </c>
      <c r="D2" s="5" t="inlineStr">
        <is>
          <t>Commission</t>
        </is>
      </c>
      <c r="E2" s="5" t="inlineStr">
        <is>
          <t>Net Payout</t>
        </is>
      </c>
      <c r="F2" s="5" t="inlineStr">
        <is>
          <t>Order Count</t>
        </is>
      </c>
      <c r="G2" s="5" t="inlineStr">
        <is>
          <t>Avg Order Value</t>
        </is>
      </c>
    </row>
    <row r="3" ht="22" customHeight="1">
      <c r="A3" s="6" t="inlineStr">
        <is>
          <t>[Date — text/date]</t>
        </is>
      </c>
      <c r="B3" s="6" t="inlineStr">
        <is>
          <t>[Store Name — text/date]</t>
        </is>
      </c>
      <c r="C3" s="6" t="inlineStr">
        <is>
          <t>[Subtotal — text/date]</t>
        </is>
      </c>
      <c r="D3" s="6" t="inlineStr">
        <is>
          <t>[Commission — text/date]</t>
        </is>
      </c>
      <c r="E3" s="7">
        <f>IF(ISNUMBER(INDEX(DoorDash-Import!A:Z,4,MATCH("Net Payout",DoorDash-Import!2:2,0))),"OK","PASTE ERROR - Net Payout is not a number")</f>
        <v/>
      </c>
      <c r="F3" s="7">
        <f>IF(ISNUMBER(INDEX(DoorDash-Import!A:Z,4,MATCH("Order Count",DoorDash-Import!2:2,0))),"OK","PASTE ERROR - Order Count is not a number")</f>
        <v/>
      </c>
      <c r="G3" s="6" t="inlineStr">
        <is>
          <t>[Avg Order Value — text/date]</t>
        </is>
      </c>
    </row>
    <row r="4">
      <c r="A4" s="8" t="inlineStr">
        <is>
          <t>2026-03-09</t>
        </is>
      </c>
      <c r="B4" s="8" t="inlineStr">
        <is>
          <t>Moto Medi Lubbock</t>
        </is>
      </c>
      <c r="C4" s="8" t="n">
        <v>980</v>
      </c>
      <c r="D4" s="8" t="n">
        <v>196</v>
      </c>
      <c r="E4" s="8" t="n">
        <v>784</v>
      </c>
      <c r="F4" s="8" t="n">
        <v>52</v>
      </c>
      <c r="G4" s="8" t="n">
        <v>18.85</v>
      </c>
    </row>
    <row r="5">
      <c r="A5" s="9" t="inlineStr">
        <is>
          <t>2026-03-10</t>
        </is>
      </c>
      <c r="B5" s="9" t="inlineStr">
        <is>
          <t>Moto Medi Lubbock</t>
        </is>
      </c>
      <c r="C5" s="9" t="n">
        <v>1100</v>
      </c>
      <c r="D5" s="9" t="n">
        <v>220</v>
      </c>
      <c r="E5" s="9" t="n">
        <v>880</v>
      </c>
      <c r="F5" s="9" t="n">
        <v>58</v>
      </c>
      <c r="G5" s="9" t="n">
        <v>18.97</v>
      </c>
    </row>
    <row r="6">
      <c r="A6" s="8" t="inlineStr">
        <is>
          <t>2026-03-11</t>
        </is>
      </c>
      <c r="B6" s="8" t="inlineStr">
        <is>
          <t>Moto Medi Lubbock</t>
        </is>
      </c>
      <c r="C6" s="8" t="n">
        <v>1240</v>
      </c>
      <c r="D6" s="8" t="n">
        <v>248</v>
      </c>
      <c r="E6" s="8" t="n">
        <v>992</v>
      </c>
      <c r="F6" s="8" t="n">
        <v>64</v>
      </c>
      <c r="G6" s="8" t="n">
        <v>19.38</v>
      </c>
    </row>
    <row r="7">
      <c r="A7" s="9" t="inlineStr">
        <is>
          <t>2026-03-12</t>
        </is>
      </c>
      <c r="B7" s="9" t="inlineStr">
        <is>
          <t>Moto Medi Lubbock</t>
        </is>
      </c>
      <c r="C7" s="9" t="n">
        <v>1050</v>
      </c>
      <c r="D7" s="9" t="n">
        <v>210</v>
      </c>
      <c r="E7" s="9" t="n">
        <v>840</v>
      </c>
      <c r="F7" s="9" t="n">
        <v>55</v>
      </c>
      <c r="G7" s="9" t="n">
        <v>19.09</v>
      </c>
    </row>
    <row r="8">
      <c r="A8" s="8" t="inlineStr">
        <is>
          <t>2026-03-13</t>
        </is>
      </c>
      <c r="B8" s="8" t="inlineStr">
        <is>
          <t>Moto Medi Lubbock</t>
        </is>
      </c>
      <c r="C8" s="8" t="n">
        <v>1320</v>
      </c>
      <c r="D8" s="8" t="n">
        <v>264</v>
      </c>
      <c r="E8" s="8" t="n">
        <v>1056</v>
      </c>
      <c r="F8" s="8" t="n">
        <v>70</v>
      </c>
      <c r="G8" s="8" t="n">
        <v>18.86</v>
      </c>
    </row>
    <row r="9">
      <c r="A9" s="9" t="inlineStr">
        <is>
          <t>2026-03-09</t>
        </is>
      </c>
      <c r="B9" s="9" t="inlineStr">
        <is>
          <t>Moto Medi Amarillo</t>
        </is>
      </c>
      <c r="C9" s="9" t="n">
        <v>720</v>
      </c>
      <c r="D9" s="9" t="n">
        <v>144</v>
      </c>
      <c r="E9" s="9" t="n">
        <v>576</v>
      </c>
      <c r="F9" s="9" t="n">
        <v>40</v>
      </c>
      <c r="G9" s="9" t="n">
        <v>18</v>
      </c>
    </row>
    <row r="10">
      <c r="A10" s="8" t="inlineStr">
        <is>
          <t>2026-03-10</t>
        </is>
      </c>
      <c r="B10" s="8" t="inlineStr">
        <is>
          <t>Moto Medi Amarillo</t>
        </is>
      </c>
      <c r="C10" s="8" t="n">
        <v>810</v>
      </c>
      <c r="D10" s="8" t="n">
        <v>162</v>
      </c>
      <c r="E10" s="8" t="n">
        <v>648</v>
      </c>
      <c r="F10" s="8" t="n">
        <v>44</v>
      </c>
      <c r="G10" s="8" t="n">
        <v>18.41</v>
      </c>
    </row>
    <row r="11">
      <c r="A11" s="9" t="inlineStr">
        <is>
          <t>2026-03-11</t>
        </is>
      </c>
      <c r="B11" s="9" t="inlineStr">
        <is>
          <t>Moto Medi Amarillo</t>
        </is>
      </c>
      <c r="C11" s="9" t="n">
        <v>890</v>
      </c>
      <c r="D11" s="9" t="n">
        <v>178</v>
      </c>
      <c r="E11" s="9" t="n">
        <v>712</v>
      </c>
      <c r="F11" s="9" t="n">
        <v>48</v>
      </c>
      <c r="G11" s="9" t="n">
        <v>18.54</v>
      </c>
    </row>
    <row r="12">
      <c r="A12" s="8" t="inlineStr">
        <is>
          <t>2026-03-12</t>
        </is>
      </c>
      <c r="B12" s="8" t="inlineStr">
        <is>
          <t>Moto Medi Amarillo</t>
        </is>
      </c>
      <c r="C12" s="8" t="n">
        <v>760</v>
      </c>
      <c r="D12" s="8" t="n">
        <v>152</v>
      </c>
      <c r="E12" s="8" t="n">
        <v>608</v>
      </c>
      <c r="F12" s="8" t="n">
        <v>42</v>
      </c>
      <c r="G12" s="8" t="n">
        <v>18.1</v>
      </c>
    </row>
    <row r="13">
      <c r="A13" s="9" t="inlineStr">
        <is>
          <t>2026-03-13</t>
        </is>
      </c>
      <c r="B13" s="9" t="inlineStr">
        <is>
          <t>Moto Medi Amarillo</t>
        </is>
      </c>
      <c r="C13" s="9" t="n">
        <v>940</v>
      </c>
      <c r="D13" s="9" t="n">
        <v>188</v>
      </c>
      <c r="E13" s="9" t="n">
        <v>752</v>
      </c>
      <c r="F13" s="9" t="n">
        <v>52</v>
      </c>
      <c r="G13" s="9" t="n">
        <v>18.08</v>
      </c>
    </row>
    <row r="14">
      <c r="A14" s="8" t="inlineStr">
        <is>
          <t>2026-03-09</t>
        </is>
      </c>
      <c r="B14" s="8" t="inlineStr">
        <is>
          <t>Moto Medi 3rd</t>
        </is>
      </c>
      <c r="C14" s="8" t="n">
        <v>560</v>
      </c>
      <c r="D14" s="8" t="n">
        <v>112</v>
      </c>
      <c r="E14" s="8" t="n">
        <v>448</v>
      </c>
      <c r="F14" s="8" t="n">
        <v>32</v>
      </c>
      <c r="G14" s="8" t="n">
        <v>17.5</v>
      </c>
    </row>
    <row r="15">
      <c r="A15" s="9" t="inlineStr">
        <is>
          <t>2026-03-10</t>
        </is>
      </c>
      <c r="B15" s="9" t="inlineStr">
        <is>
          <t>Moto Medi 3rd</t>
        </is>
      </c>
      <c r="C15" s="9" t="n">
        <v>620</v>
      </c>
      <c r="D15" s="9" t="n">
        <v>124</v>
      </c>
      <c r="E15" s="9" t="n">
        <v>496</v>
      </c>
      <c r="F15" s="9" t="n">
        <v>35</v>
      </c>
      <c r="G15" s="9" t="n">
        <v>17.71</v>
      </c>
    </row>
    <row r="16">
      <c r="A16" s="8" t="inlineStr">
        <is>
          <t>2026-03-11</t>
        </is>
      </c>
      <c r="B16" s="8" t="inlineStr">
        <is>
          <t>Moto Medi 3rd</t>
        </is>
      </c>
      <c r="C16" s="8" t="n">
        <v>710</v>
      </c>
      <c r="D16" s="8" t="n">
        <v>142</v>
      </c>
      <c r="E16" s="8" t="n">
        <v>568</v>
      </c>
      <c r="F16" s="8" t="n">
        <v>40</v>
      </c>
      <c r="G16" s="8" t="n">
        <v>17.75</v>
      </c>
    </row>
    <row r="17">
      <c r="A17" s="9" t="inlineStr">
        <is>
          <t>2026-03-12</t>
        </is>
      </c>
      <c r="B17" s="9" t="inlineStr">
        <is>
          <t>Moto Medi 3rd</t>
        </is>
      </c>
      <c r="C17" s="9" t="n">
        <v>590</v>
      </c>
      <c r="D17" s="9" t="n">
        <v>118</v>
      </c>
      <c r="E17" s="9" t="n">
        <v>472</v>
      </c>
      <c r="F17" s="9" t="n">
        <v>34</v>
      </c>
      <c r="G17" s="9" t="n">
        <v>17.35</v>
      </c>
    </row>
    <row r="18">
      <c r="A18" s="8" t="inlineStr">
        <is>
          <t>2026-03-13</t>
        </is>
      </c>
      <c r="B18" s="8" t="inlineStr">
        <is>
          <t>Moto Medi 3rd</t>
        </is>
      </c>
      <c r="C18" s="8" t="n">
        <v>680</v>
      </c>
      <c r="D18" s="8" t="n">
        <v>136</v>
      </c>
      <c r="E18" s="8" t="n">
        <v>544</v>
      </c>
      <c r="F18" s="8" t="n">
        <v>38</v>
      </c>
      <c r="G18" s="8" t="n">
        <v>17.89</v>
      </c>
    </row>
    <row r="19">
      <c r="A19" s="9" t="inlineStr">
        <is>
          <t>2026-03-09</t>
        </is>
      </c>
      <c r="B19" s="9" t="inlineStr">
        <is>
          <t>Tikka Shack 1</t>
        </is>
      </c>
      <c r="C19" s="9" t="n">
        <v>490</v>
      </c>
      <c r="D19" s="9" t="n">
        <v>98</v>
      </c>
      <c r="E19" s="9" t="n">
        <v>392</v>
      </c>
      <c r="F19" s="9" t="n">
        <v>28</v>
      </c>
      <c r="G19" s="9" t="n">
        <v>17.5</v>
      </c>
    </row>
    <row r="20">
      <c r="A20" s="8" t="inlineStr">
        <is>
          <t>2026-03-10</t>
        </is>
      </c>
      <c r="B20" s="8" t="inlineStr">
        <is>
          <t>Tikka Shack 1</t>
        </is>
      </c>
      <c r="C20" s="8" t="n">
        <v>540</v>
      </c>
      <c r="D20" s="8" t="n">
        <v>108</v>
      </c>
      <c r="E20" s="8" t="n">
        <v>432</v>
      </c>
      <c r="F20" s="8" t="n">
        <v>31</v>
      </c>
      <c r="G20" s="8" t="n">
        <v>17.42</v>
      </c>
    </row>
    <row r="21">
      <c r="A21" s="9" t="inlineStr">
        <is>
          <t>2026-03-11</t>
        </is>
      </c>
      <c r="B21" s="9" t="inlineStr">
        <is>
          <t>Tikka Shack 1</t>
        </is>
      </c>
      <c r="C21" s="9" t="n">
        <v>610</v>
      </c>
      <c r="D21" s="9" t="n">
        <v>122</v>
      </c>
      <c r="E21" s="9" t="n">
        <v>488</v>
      </c>
      <c r="F21" s="9" t="n">
        <v>35</v>
      </c>
      <c r="G21" s="9" t="n">
        <v>17.43</v>
      </c>
    </row>
    <row r="22">
      <c r="A22" s="8" t="inlineStr">
        <is>
          <t>2026-03-12</t>
        </is>
      </c>
      <c r="B22" s="8" t="inlineStr">
        <is>
          <t>Tikka Shack 1</t>
        </is>
      </c>
      <c r="C22" s="8" t="n">
        <v>510</v>
      </c>
      <c r="D22" s="8" t="n">
        <v>102</v>
      </c>
      <c r="E22" s="8" t="n">
        <v>408</v>
      </c>
      <c r="F22" s="8" t="n">
        <v>29</v>
      </c>
      <c r="G22" s="8" t="n">
        <v>17.59</v>
      </c>
    </row>
    <row r="23">
      <c r="A23" s="9" t="inlineStr">
        <is>
          <t>2026-03-13</t>
        </is>
      </c>
      <c r="B23" s="9" t="inlineStr">
        <is>
          <t>Tikka Shack 1</t>
        </is>
      </c>
      <c r="C23" s="9" t="n">
        <v>660</v>
      </c>
      <c r="D23" s="9" t="n">
        <v>132</v>
      </c>
      <c r="E23" s="9" t="n">
        <v>528</v>
      </c>
      <c r="F23" s="9" t="n">
        <v>38</v>
      </c>
      <c r="G23" s="9" t="n">
        <v>17.37</v>
      </c>
    </row>
    <row r="24">
      <c r="A24" s="8" t="inlineStr">
        <is>
          <t>2026-03-09</t>
        </is>
      </c>
      <c r="B24" s="8" t="inlineStr">
        <is>
          <t>Tikka Shack 2</t>
        </is>
      </c>
      <c r="C24" s="8" t="n">
        <v>410</v>
      </c>
      <c r="D24" s="8" t="n">
        <v>82</v>
      </c>
      <c r="E24" s="8" t="n">
        <v>328</v>
      </c>
      <c r="F24" s="8" t="n">
        <v>24</v>
      </c>
      <c r="G24" s="8" t="n">
        <v>17.08</v>
      </c>
    </row>
    <row r="25">
      <c r="A25" s="9" t="inlineStr">
        <is>
          <t>2026-03-10</t>
        </is>
      </c>
      <c r="B25" s="9" t="inlineStr">
        <is>
          <t>Tikka Shack 2</t>
        </is>
      </c>
      <c r="C25" s="9" t="n">
        <v>450</v>
      </c>
      <c r="D25" s="9" t="n">
        <v>90</v>
      </c>
      <c r="E25" s="9" t="n">
        <v>360</v>
      </c>
      <c r="F25" s="9" t="n">
        <v>26</v>
      </c>
      <c r="G25" s="9" t="n">
        <v>17.31</v>
      </c>
    </row>
    <row r="26">
      <c r="A26" s="8" t="inlineStr">
        <is>
          <t>2026-03-11</t>
        </is>
      </c>
      <c r="B26" s="8" t="inlineStr">
        <is>
          <t>Tikka Shack 2</t>
        </is>
      </c>
      <c r="C26" s="8" t="n">
        <v>520</v>
      </c>
      <c r="D26" s="8" t="n">
        <v>104</v>
      </c>
      <c r="E26" s="8" t="n">
        <v>416</v>
      </c>
      <c r="F26" s="8" t="n">
        <v>30</v>
      </c>
      <c r="G26" s="8" t="n">
        <v>17.33</v>
      </c>
    </row>
    <row r="27">
      <c r="A27" s="9" t="inlineStr">
        <is>
          <t>2026-03-12</t>
        </is>
      </c>
      <c r="B27" s="9" t="inlineStr">
        <is>
          <t>Tikka Shack 2</t>
        </is>
      </c>
      <c r="C27" s="9" t="n">
        <v>430</v>
      </c>
      <c r="D27" s="9" t="n">
        <v>86</v>
      </c>
      <c r="E27" s="9" t="n">
        <v>344</v>
      </c>
      <c r="F27" s="9" t="n">
        <v>25</v>
      </c>
      <c r="G27" s="9" t="n">
        <v>17.2</v>
      </c>
    </row>
    <row r="28">
      <c r="A28" s="8" t="inlineStr">
        <is>
          <t>2026-03-13</t>
        </is>
      </c>
      <c r="B28" s="8" t="inlineStr">
        <is>
          <t>Tikka Shack 2</t>
        </is>
      </c>
      <c r="C28" s="8" t="n">
        <v>570</v>
      </c>
      <c r="D28" s="8" t="n">
        <v>114</v>
      </c>
      <c r="E28" s="8" t="n">
        <v>456</v>
      </c>
      <c r="F28" s="8" t="n">
        <v>33</v>
      </c>
      <c r="G28" s="8" t="n">
        <v>17.27</v>
      </c>
    </row>
    <row r="30">
      <c r="A30" s="10" t="inlineStr">
        <is>
          <t>Last Updated:</t>
        </is>
      </c>
      <c r="B3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4A86C8"/>
    <outlinePr summaryBelow="1" summaryRight="1"/>
    <pageSetUpPr/>
  </sheetPr>
  <dimension ref="A1:G30"/>
  <sheetViews>
    <sheetView workbookViewId="0">
      <pane ySplit="2" topLeftCell="A3" activePane="bottomLeft" state="frozen"/>
      <selection pane="bottomLeft" activeCell="A1" sqref="A1"/>
    </sheetView>
  </sheetViews>
  <sheetFormatPr baseColWidth="8" defaultRowHeight="15"/>
  <cols>
    <col width="10" customWidth="1" min="1" max="1"/>
    <col width="19" customWidth="1" min="2" max="2"/>
    <col width="10" customWidth="1" min="3" max="3"/>
    <col width="19" customWidth="1" min="4" max="4"/>
    <col width="14" customWidth="1" min="5" max="5"/>
    <col width="10" customWidth="1" min="6" max="6"/>
    <col width="14" customWidth="1" min="7" max="7"/>
  </cols>
  <sheetData>
    <row r="1" ht="20" customHeight="1">
      <c r="A1" s="4" t="inlineStr">
        <is>
          <t>PLACEHOLDER HEADERS — Update row 2 to match your actual CSV export column names exactly.</t>
        </is>
      </c>
    </row>
    <row r="2">
      <c r="A2" s="5" t="inlineStr">
        <is>
          <t>Date</t>
        </is>
      </c>
      <c r="B2" s="5" t="inlineStr">
        <is>
          <t>Restaurant Name</t>
        </is>
      </c>
      <c r="C2" s="5" t="inlineStr">
        <is>
          <t>Sales</t>
        </is>
      </c>
      <c r="D2" s="5" t="inlineStr">
        <is>
          <t>Marketplace Fee</t>
        </is>
      </c>
      <c r="E2" s="5" t="inlineStr">
        <is>
          <t>Net Payout</t>
        </is>
      </c>
      <c r="F2" s="5" t="inlineStr">
        <is>
          <t>Trips</t>
        </is>
      </c>
      <c r="G2" s="5" t="inlineStr">
        <is>
          <t>Avg Basket</t>
        </is>
      </c>
    </row>
    <row r="3" ht="22" customHeight="1">
      <c r="A3" s="6" t="inlineStr">
        <is>
          <t>[Date — text/date]</t>
        </is>
      </c>
      <c r="B3" s="6" t="inlineStr">
        <is>
          <t>[Restaurant Name — text/date]</t>
        </is>
      </c>
      <c r="C3" s="7">
        <f>IF(ISNUMBER(INDEX(UberEats-Import!A:Z,4,MATCH("Sales",UberEats-Import!2:2,0))),"OK","PASTE ERROR - Sales is not a number")</f>
        <v/>
      </c>
      <c r="D3" s="6" t="inlineStr">
        <is>
          <t>[Marketplace Fee — text/date]</t>
        </is>
      </c>
      <c r="E3" s="7">
        <f>IF(ISNUMBER(INDEX(UberEats-Import!A:Z,4,MATCH("Net Payout",UberEats-Import!2:2,0))),"OK","PASTE ERROR - Net Payout is not a number")</f>
        <v/>
      </c>
      <c r="F3" s="7">
        <f>IF(ISNUMBER(INDEX(UberEats-Import!A:Z,4,MATCH("Trips",UberEats-Import!2:2,0))),"OK","PASTE ERROR - Trips is not a number")</f>
        <v/>
      </c>
      <c r="G3" s="6" t="inlineStr">
        <is>
          <t>[Avg Basket — text/date]</t>
        </is>
      </c>
    </row>
    <row r="4">
      <c r="A4" s="8" t="inlineStr">
        <is>
          <t>2026-03-09</t>
        </is>
      </c>
      <c r="B4" s="8" t="inlineStr">
        <is>
          <t>Moto Medi Lubbock</t>
        </is>
      </c>
      <c r="C4" s="8" t="n">
        <v>740</v>
      </c>
      <c r="D4" s="8" t="n">
        <v>185</v>
      </c>
      <c r="E4" s="8" t="n">
        <v>555</v>
      </c>
      <c r="F4" s="8" t="n">
        <v>40</v>
      </c>
      <c r="G4" s="8" t="n">
        <v>18.5</v>
      </c>
    </row>
    <row r="5">
      <c r="A5" s="9" t="inlineStr">
        <is>
          <t>2026-03-10</t>
        </is>
      </c>
      <c r="B5" s="9" t="inlineStr">
        <is>
          <t>Moto Medi Lubbock</t>
        </is>
      </c>
      <c r="C5" s="9" t="n">
        <v>820</v>
      </c>
      <c r="D5" s="9" t="n">
        <v>205</v>
      </c>
      <c r="E5" s="9" t="n">
        <v>615</v>
      </c>
      <c r="F5" s="9" t="n">
        <v>44</v>
      </c>
      <c r="G5" s="9" t="n">
        <v>18.64</v>
      </c>
    </row>
    <row r="6">
      <c r="A6" s="8" t="inlineStr">
        <is>
          <t>2026-03-11</t>
        </is>
      </c>
      <c r="B6" s="8" t="inlineStr">
        <is>
          <t>Moto Medi Lubbock</t>
        </is>
      </c>
      <c r="C6" s="8" t="n">
        <v>940</v>
      </c>
      <c r="D6" s="8" t="n">
        <v>235</v>
      </c>
      <c r="E6" s="8" t="n">
        <v>705</v>
      </c>
      <c r="F6" s="8" t="n">
        <v>50</v>
      </c>
      <c r="G6" s="8" t="n">
        <v>18.8</v>
      </c>
    </row>
    <row r="7">
      <c r="A7" s="9" t="inlineStr">
        <is>
          <t>2026-03-12</t>
        </is>
      </c>
      <c r="B7" s="9" t="inlineStr">
        <is>
          <t>Moto Medi Lubbock</t>
        </is>
      </c>
      <c r="C7" s="9" t="n">
        <v>780</v>
      </c>
      <c r="D7" s="9" t="n">
        <v>195</v>
      </c>
      <c r="E7" s="9" t="n">
        <v>585</v>
      </c>
      <c r="F7" s="9" t="n">
        <v>42</v>
      </c>
      <c r="G7" s="9" t="n">
        <v>18.57</v>
      </c>
    </row>
    <row r="8">
      <c r="A8" s="8" t="inlineStr">
        <is>
          <t>2026-03-13</t>
        </is>
      </c>
      <c r="B8" s="8" t="inlineStr">
        <is>
          <t>Moto Medi Lubbock</t>
        </is>
      </c>
      <c r="C8" s="8" t="n">
        <v>980</v>
      </c>
      <c r="D8" s="8" t="n">
        <v>245</v>
      </c>
      <c r="E8" s="8" t="n">
        <v>735</v>
      </c>
      <c r="F8" s="8" t="n">
        <v>53</v>
      </c>
      <c r="G8" s="8" t="n">
        <v>18.49</v>
      </c>
    </row>
    <row r="9">
      <c r="A9" s="9" t="inlineStr">
        <is>
          <t>2026-03-09</t>
        </is>
      </c>
      <c r="B9" s="9" t="inlineStr">
        <is>
          <t>Moto Medi Amarillo</t>
        </is>
      </c>
      <c r="C9" s="9" t="n">
        <v>560</v>
      </c>
      <c r="D9" s="9" t="n">
        <v>140</v>
      </c>
      <c r="E9" s="9" t="n">
        <v>420</v>
      </c>
      <c r="F9" s="9" t="n">
        <v>30</v>
      </c>
      <c r="G9" s="9" t="n">
        <v>18.67</v>
      </c>
    </row>
    <row r="10">
      <c r="A10" s="8" t="inlineStr">
        <is>
          <t>2026-03-10</t>
        </is>
      </c>
      <c r="B10" s="8" t="inlineStr">
        <is>
          <t>Moto Medi Amarillo</t>
        </is>
      </c>
      <c r="C10" s="8" t="n">
        <v>610</v>
      </c>
      <c r="D10" s="8" t="n">
        <v>152.5</v>
      </c>
      <c r="E10" s="8" t="n">
        <v>457.5</v>
      </c>
      <c r="F10" s="8" t="n">
        <v>33</v>
      </c>
      <c r="G10" s="8" t="n">
        <v>18.48</v>
      </c>
    </row>
    <row r="11">
      <c r="A11" s="9" t="inlineStr">
        <is>
          <t>2026-03-11</t>
        </is>
      </c>
      <c r="B11" s="9" t="inlineStr">
        <is>
          <t>Moto Medi Amarillo</t>
        </is>
      </c>
      <c r="C11" s="9" t="n">
        <v>680</v>
      </c>
      <c r="D11" s="9" t="n">
        <v>170</v>
      </c>
      <c r="E11" s="9" t="n">
        <v>510</v>
      </c>
      <c r="F11" s="9" t="n">
        <v>37</v>
      </c>
      <c r="G11" s="9" t="n">
        <v>18.38</v>
      </c>
    </row>
    <row r="12">
      <c r="A12" s="8" t="inlineStr">
        <is>
          <t>2026-03-12</t>
        </is>
      </c>
      <c r="B12" s="8" t="inlineStr">
        <is>
          <t>Moto Medi Amarillo</t>
        </is>
      </c>
      <c r="C12" s="8" t="n">
        <v>590</v>
      </c>
      <c r="D12" s="8" t="n">
        <v>147.5</v>
      </c>
      <c r="E12" s="8" t="n">
        <v>442.5</v>
      </c>
      <c r="F12" s="8" t="n">
        <v>32</v>
      </c>
      <c r="G12" s="8" t="n">
        <v>18.44</v>
      </c>
    </row>
    <row r="13">
      <c r="A13" s="9" t="inlineStr">
        <is>
          <t>2026-03-13</t>
        </is>
      </c>
      <c r="B13" s="9" t="inlineStr">
        <is>
          <t>Moto Medi Amarillo</t>
        </is>
      </c>
      <c r="C13" s="9" t="n">
        <v>720</v>
      </c>
      <c r="D13" s="9" t="n">
        <v>180</v>
      </c>
      <c r="E13" s="9" t="n">
        <v>540</v>
      </c>
      <c r="F13" s="9" t="n">
        <v>39</v>
      </c>
      <c r="G13" s="9" t="n">
        <v>18.46</v>
      </c>
    </row>
    <row r="14">
      <c r="A14" s="8" t="inlineStr">
        <is>
          <t>2026-03-09</t>
        </is>
      </c>
      <c r="B14" s="8" t="inlineStr">
        <is>
          <t>Moto Medi 3rd</t>
        </is>
      </c>
      <c r="C14" s="8" t="n">
        <v>420</v>
      </c>
      <c r="D14" s="8" t="n">
        <v>105</v>
      </c>
      <c r="E14" s="8" t="n">
        <v>315</v>
      </c>
      <c r="F14" s="8" t="n">
        <v>23</v>
      </c>
      <c r="G14" s="8" t="n">
        <v>18.26</v>
      </c>
    </row>
    <row r="15">
      <c r="A15" s="9" t="inlineStr">
        <is>
          <t>2026-03-10</t>
        </is>
      </c>
      <c r="B15" s="9" t="inlineStr">
        <is>
          <t>Moto Medi 3rd</t>
        </is>
      </c>
      <c r="C15" s="9" t="n">
        <v>470</v>
      </c>
      <c r="D15" s="9" t="n">
        <v>117.5</v>
      </c>
      <c r="E15" s="9" t="n">
        <v>352.5</v>
      </c>
      <c r="F15" s="9" t="n">
        <v>25</v>
      </c>
      <c r="G15" s="9" t="n">
        <v>18.8</v>
      </c>
    </row>
    <row r="16">
      <c r="A16" s="8" t="inlineStr">
        <is>
          <t>2026-03-11</t>
        </is>
      </c>
      <c r="B16" s="8" t="inlineStr">
        <is>
          <t>Moto Medi 3rd</t>
        </is>
      </c>
      <c r="C16" s="8" t="n">
        <v>540</v>
      </c>
      <c r="D16" s="8" t="n">
        <v>135</v>
      </c>
      <c r="E16" s="8" t="n">
        <v>405</v>
      </c>
      <c r="F16" s="8" t="n">
        <v>29</v>
      </c>
      <c r="G16" s="8" t="n">
        <v>18.62</v>
      </c>
    </row>
    <row r="17">
      <c r="A17" s="9" t="inlineStr">
        <is>
          <t>2026-03-12</t>
        </is>
      </c>
      <c r="B17" s="9" t="inlineStr">
        <is>
          <t>Moto Medi 3rd</t>
        </is>
      </c>
      <c r="C17" s="9" t="n">
        <v>440</v>
      </c>
      <c r="D17" s="9" t="n">
        <v>110</v>
      </c>
      <c r="E17" s="9" t="n">
        <v>330</v>
      </c>
      <c r="F17" s="9" t="n">
        <v>24</v>
      </c>
      <c r="G17" s="9" t="n">
        <v>18.33</v>
      </c>
    </row>
    <row r="18">
      <c r="A18" s="8" t="inlineStr">
        <is>
          <t>2026-03-13</t>
        </is>
      </c>
      <c r="B18" s="8" t="inlineStr">
        <is>
          <t>Moto Medi 3rd</t>
        </is>
      </c>
      <c r="C18" s="8" t="n">
        <v>510</v>
      </c>
      <c r="D18" s="8" t="n">
        <v>127.5</v>
      </c>
      <c r="E18" s="8" t="n">
        <v>382.5</v>
      </c>
      <c r="F18" s="8" t="n">
        <v>28</v>
      </c>
      <c r="G18" s="8" t="n">
        <v>18.21</v>
      </c>
    </row>
    <row r="19">
      <c r="A19" s="9" t="inlineStr">
        <is>
          <t>2026-03-09</t>
        </is>
      </c>
      <c r="B19" s="9" t="inlineStr">
        <is>
          <t>Tikka Shack 1</t>
        </is>
      </c>
      <c r="C19" s="9" t="n">
        <v>360</v>
      </c>
      <c r="D19" s="9" t="n">
        <v>90</v>
      </c>
      <c r="E19" s="9" t="n">
        <v>270</v>
      </c>
      <c r="F19" s="9" t="n">
        <v>20</v>
      </c>
      <c r="G19" s="9" t="n">
        <v>18</v>
      </c>
    </row>
    <row r="20">
      <c r="A20" s="8" t="inlineStr">
        <is>
          <t>2026-03-10</t>
        </is>
      </c>
      <c r="B20" s="8" t="inlineStr">
        <is>
          <t>Tikka Shack 1</t>
        </is>
      </c>
      <c r="C20" s="8" t="n">
        <v>400</v>
      </c>
      <c r="D20" s="8" t="n">
        <v>100</v>
      </c>
      <c r="E20" s="8" t="n">
        <v>300</v>
      </c>
      <c r="F20" s="8" t="n">
        <v>22</v>
      </c>
      <c r="G20" s="8" t="n">
        <v>18.18</v>
      </c>
    </row>
    <row r="21">
      <c r="A21" s="9" t="inlineStr">
        <is>
          <t>2026-03-11</t>
        </is>
      </c>
      <c r="B21" s="9" t="inlineStr">
        <is>
          <t>Tikka Shack 1</t>
        </is>
      </c>
      <c r="C21" s="9" t="n">
        <v>460</v>
      </c>
      <c r="D21" s="9" t="n">
        <v>115</v>
      </c>
      <c r="E21" s="9" t="n">
        <v>345</v>
      </c>
      <c r="F21" s="9" t="n">
        <v>25</v>
      </c>
      <c r="G21" s="9" t="n">
        <v>18.4</v>
      </c>
    </row>
    <row r="22">
      <c r="A22" s="8" t="inlineStr">
        <is>
          <t>2026-03-12</t>
        </is>
      </c>
      <c r="B22" s="8" t="inlineStr">
        <is>
          <t>Tikka Shack 1</t>
        </is>
      </c>
      <c r="C22" s="8" t="n">
        <v>380</v>
      </c>
      <c r="D22" s="8" t="n">
        <v>95</v>
      </c>
      <c r="E22" s="8" t="n">
        <v>285</v>
      </c>
      <c r="F22" s="8" t="n">
        <v>21</v>
      </c>
      <c r="G22" s="8" t="n">
        <v>18.1</v>
      </c>
    </row>
    <row r="23">
      <c r="A23" s="9" t="inlineStr">
        <is>
          <t>2026-03-13</t>
        </is>
      </c>
      <c r="B23" s="9" t="inlineStr">
        <is>
          <t>Tikka Shack 1</t>
        </is>
      </c>
      <c r="C23" s="9" t="n">
        <v>490</v>
      </c>
      <c r="D23" s="9" t="n">
        <v>122.5</v>
      </c>
      <c r="E23" s="9" t="n">
        <v>367.5</v>
      </c>
      <c r="F23" s="9" t="n">
        <v>27</v>
      </c>
      <c r="G23" s="9" t="n">
        <v>18.15</v>
      </c>
    </row>
    <row r="24">
      <c r="A24" s="8" t="inlineStr">
        <is>
          <t>2026-03-09</t>
        </is>
      </c>
      <c r="B24" s="8" t="inlineStr">
        <is>
          <t>Tikka Shack 2</t>
        </is>
      </c>
      <c r="C24" s="8" t="n">
        <v>300</v>
      </c>
      <c r="D24" s="8" t="n">
        <v>75</v>
      </c>
      <c r="E24" s="8" t="n">
        <v>225</v>
      </c>
      <c r="F24" s="8" t="n">
        <v>17</v>
      </c>
      <c r="G24" s="8" t="n">
        <v>17.65</v>
      </c>
    </row>
    <row r="25">
      <c r="A25" s="9" t="inlineStr">
        <is>
          <t>2026-03-10</t>
        </is>
      </c>
      <c r="B25" s="9" t="inlineStr">
        <is>
          <t>Tikka Shack 2</t>
        </is>
      </c>
      <c r="C25" s="9" t="n">
        <v>340</v>
      </c>
      <c r="D25" s="9" t="n">
        <v>85</v>
      </c>
      <c r="E25" s="9" t="n">
        <v>255</v>
      </c>
      <c r="F25" s="9" t="n">
        <v>19</v>
      </c>
      <c r="G25" s="9" t="n">
        <v>17.89</v>
      </c>
    </row>
    <row r="26">
      <c r="A26" s="8" t="inlineStr">
        <is>
          <t>2026-03-11</t>
        </is>
      </c>
      <c r="B26" s="8" t="inlineStr">
        <is>
          <t>Tikka Shack 2</t>
        </is>
      </c>
      <c r="C26" s="8" t="n">
        <v>390</v>
      </c>
      <c r="D26" s="8" t="n">
        <v>97.5</v>
      </c>
      <c r="E26" s="8" t="n">
        <v>292.5</v>
      </c>
      <c r="F26" s="8" t="n">
        <v>22</v>
      </c>
      <c r="G26" s="8" t="n">
        <v>17.73</v>
      </c>
    </row>
    <row r="27">
      <c r="A27" s="9" t="inlineStr">
        <is>
          <t>2026-03-12</t>
        </is>
      </c>
      <c r="B27" s="9" t="inlineStr">
        <is>
          <t>Tikka Shack 2</t>
        </is>
      </c>
      <c r="C27" s="9" t="n">
        <v>310</v>
      </c>
      <c r="D27" s="9" t="n">
        <v>77.5</v>
      </c>
      <c r="E27" s="9" t="n">
        <v>232.5</v>
      </c>
      <c r="F27" s="9" t="n">
        <v>18</v>
      </c>
      <c r="G27" s="9" t="n">
        <v>17.22</v>
      </c>
    </row>
    <row r="28">
      <c r="A28" s="8" t="inlineStr">
        <is>
          <t>2026-03-13</t>
        </is>
      </c>
      <c r="B28" s="8" t="inlineStr">
        <is>
          <t>Tikka Shack 2</t>
        </is>
      </c>
      <c r="C28" s="8" t="n">
        <v>420</v>
      </c>
      <c r="D28" s="8" t="n">
        <v>105</v>
      </c>
      <c r="E28" s="8" t="n">
        <v>315</v>
      </c>
      <c r="F28" s="8" t="n">
        <v>24</v>
      </c>
      <c r="G28" s="8" t="n">
        <v>17.5</v>
      </c>
    </row>
    <row r="30">
      <c r="A30" s="10" t="inlineStr">
        <is>
          <t>Last Updated:</t>
        </is>
      </c>
      <c r="B3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4A86C8"/>
    <outlinePr summaryBelow="1" summaryRight="1"/>
    <pageSetUpPr/>
  </sheetPr>
  <dimension ref="A1:G30"/>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14" customWidth="1" min="3" max="3"/>
    <col width="16" customWidth="1" min="4" max="4"/>
    <col width="22" customWidth="1" min="5" max="5"/>
    <col width="14" customWidth="1" min="6" max="6"/>
    <col width="10" customWidth="1" min="7" max="7"/>
  </cols>
  <sheetData>
    <row r="1" ht="20" customHeight="1">
      <c r="A1" s="4" t="inlineStr">
        <is>
          <t>PLACEHOLDER HEADERS — Update row 2 to match your actual CSV export column names exactly.</t>
        </is>
      </c>
    </row>
    <row r="2">
      <c r="A2" s="5" t="inlineStr">
        <is>
          <t>Date</t>
        </is>
      </c>
      <c r="B2" s="5" t="inlineStr">
        <is>
          <t>Restaurant</t>
        </is>
      </c>
      <c r="C2" s="5" t="inlineStr">
        <is>
          <t>Food Sales</t>
        </is>
      </c>
      <c r="D2" s="5" t="inlineStr">
        <is>
          <t>Delivery Fee</t>
        </is>
      </c>
      <c r="E2" s="5" t="inlineStr">
        <is>
          <t>Grubhub Commission</t>
        </is>
      </c>
      <c r="F2" s="5" t="inlineStr">
        <is>
          <t>Net Payout</t>
        </is>
      </c>
      <c r="G2" s="5" t="inlineStr">
        <is>
          <t>Orders</t>
        </is>
      </c>
    </row>
    <row r="3" ht="22" customHeight="1">
      <c r="A3" s="6" t="inlineStr">
        <is>
          <t>[Date — text/date]</t>
        </is>
      </c>
      <c r="B3" s="6" t="inlineStr">
        <is>
          <t>[Restaurant — text/date]</t>
        </is>
      </c>
      <c r="C3" s="7">
        <f>IF(ISNUMBER(INDEX(Grubhub-Import!A:Z,4,MATCH("Food Sales",Grubhub-Import!2:2,0))),"OK","PASTE ERROR - Food Sales is not a number")</f>
        <v/>
      </c>
      <c r="D3" s="6" t="inlineStr">
        <is>
          <t>[Delivery Fee — text/date]</t>
        </is>
      </c>
      <c r="E3" s="6" t="inlineStr">
        <is>
          <t>[Grubhub Commission — text/date]</t>
        </is>
      </c>
      <c r="F3" s="7">
        <f>IF(ISNUMBER(INDEX(Grubhub-Import!A:Z,4,MATCH("Net Payout",Grubhub-Import!2:2,0))),"OK","PASTE ERROR - Net Payout is not a number")</f>
        <v/>
      </c>
      <c r="G3" s="7">
        <f>IF(ISNUMBER(INDEX(Grubhub-Import!A:Z,4,MATCH("Orders",Grubhub-Import!2:2,0))),"OK","PASTE ERROR - Orders is not a number")</f>
        <v/>
      </c>
    </row>
    <row r="4">
      <c r="A4" s="8" t="inlineStr">
        <is>
          <t>2026-03-09</t>
        </is>
      </c>
      <c r="B4" s="8" t="inlineStr">
        <is>
          <t>Moto Medi Lubbock</t>
        </is>
      </c>
      <c r="C4" s="8" t="n">
        <v>380</v>
      </c>
      <c r="D4" s="8" t="n">
        <v>45</v>
      </c>
      <c r="E4" s="8" t="n">
        <v>76</v>
      </c>
      <c r="F4" s="8" t="n">
        <v>259</v>
      </c>
      <c r="G4" s="8" t="n">
        <v>21</v>
      </c>
    </row>
    <row r="5">
      <c r="A5" s="9" t="inlineStr">
        <is>
          <t>2026-03-10</t>
        </is>
      </c>
      <c r="B5" s="9" t="inlineStr">
        <is>
          <t>Moto Medi Lubbock</t>
        </is>
      </c>
      <c r="C5" s="9" t="n">
        <v>420</v>
      </c>
      <c r="D5" s="9" t="n">
        <v>50</v>
      </c>
      <c r="E5" s="9" t="n">
        <v>84</v>
      </c>
      <c r="F5" s="9" t="n">
        <v>286</v>
      </c>
      <c r="G5" s="9" t="n">
        <v>23</v>
      </c>
    </row>
    <row r="6">
      <c r="A6" s="8" t="inlineStr">
        <is>
          <t>2026-03-11</t>
        </is>
      </c>
      <c r="B6" s="8" t="inlineStr">
        <is>
          <t>Moto Medi Lubbock</t>
        </is>
      </c>
      <c r="C6" s="8" t="n">
        <v>500</v>
      </c>
      <c r="D6" s="8" t="n">
        <v>58</v>
      </c>
      <c r="E6" s="8" t="n">
        <v>100</v>
      </c>
      <c r="F6" s="8" t="n">
        <v>342</v>
      </c>
      <c r="G6" s="8" t="n">
        <v>27</v>
      </c>
    </row>
    <row r="7">
      <c r="A7" s="9" t="inlineStr">
        <is>
          <t>2026-03-12</t>
        </is>
      </c>
      <c r="B7" s="9" t="inlineStr">
        <is>
          <t>Moto Medi Lubbock</t>
        </is>
      </c>
      <c r="C7" s="9" t="n">
        <v>410</v>
      </c>
      <c r="D7" s="9" t="n">
        <v>48</v>
      </c>
      <c r="E7" s="9" t="n">
        <v>82</v>
      </c>
      <c r="F7" s="9" t="n">
        <v>280</v>
      </c>
      <c r="G7" s="9" t="n">
        <v>22</v>
      </c>
    </row>
    <row r="8">
      <c r="A8" s="8" t="inlineStr">
        <is>
          <t>2026-03-13</t>
        </is>
      </c>
      <c r="B8" s="8" t="inlineStr">
        <is>
          <t>Moto Medi Lubbock</t>
        </is>
      </c>
      <c r="C8" s="8" t="n">
        <v>540</v>
      </c>
      <c r="D8" s="8" t="n">
        <v>62</v>
      </c>
      <c r="E8" s="8" t="n">
        <v>108</v>
      </c>
      <c r="F8" s="8" t="n">
        <v>370</v>
      </c>
      <c r="G8" s="8" t="n">
        <v>29</v>
      </c>
    </row>
    <row r="9">
      <c r="A9" s="9" t="inlineStr">
        <is>
          <t>2026-03-09</t>
        </is>
      </c>
      <c r="B9" s="9" t="inlineStr">
        <is>
          <t>Moto Medi Amarillo</t>
        </is>
      </c>
      <c r="C9" s="9" t="n">
        <v>280</v>
      </c>
      <c r="D9" s="9" t="n">
        <v>34</v>
      </c>
      <c r="E9" s="9" t="n">
        <v>56</v>
      </c>
      <c r="F9" s="9" t="n">
        <v>190</v>
      </c>
      <c r="G9" s="9" t="n">
        <v>16</v>
      </c>
    </row>
    <row r="10">
      <c r="A10" s="8" t="inlineStr">
        <is>
          <t>2026-03-10</t>
        </is>
      </c>
      <c r="B10" s="8" t="inlineStr">
        <is>
          <t>Moto Medi Amarillo</t>
        </is>
      </c>
      <c r="C10" s="8" t="n">
        <v>320</v>
      </c>
      <c r="D10" s="8" t="n">
        <v>38</v>
      </c>
      <c r="E10" s="8" t="n">
        <v>64</v>
      </c>
      <c r="F10" s="8" t="n">
        <v>218</v>
      </c>
      <c r="G10" s="8" t="n">
        <v>18</v>
      </c>
    </row>
    <row r="11">
      <c r="A11" s="9" t="inlineStr">
        <is>
          <t>2026-03-11</t>
        </is>
      </c>
      <c r="B11" s="9" t="inlineStr">
        <is>
          <t>Moto Medi Amarillo</t>
        </is>
      </c>
      <c r="C11" s="9" t="n">
        <v>370</v>
      </c>
      <c r="D11" s="9" t="n">
        <v>44</v>
      </c>
      <c r="E11" s="9" t="n">
        <v>74</v>
      </c>
      <c r="F11" s="9" t="n">
        <v>252</v>
      </c>
      <c r="G11" s="9" t="n">
        <v>20</v>
      </c>
    </row>
    <row r="12">
      <c r="A12" s="8" t="inlineStr">
        <is>
          <t>2026-03-12</t>
        </is>
      </c>
      <c r="B12" s="8" t="inlineStr">
        <is>
          <t>Moto Medi Amarillo</t>
        </is>
      </c>
      <c r="C12" s="8" t="n">
        <v>290</v>
      </c>
      <c r="D12" s="8" t="n">
        <v>35</v>
      </c>
      <c r="E12" s="8" t="n">
        <v>58</v>
      </c>
      <c r="F12" s="8" t="n">
        <v>197</v>
      </c>
      <c r="G12" s="8" t="n">
        <v>16</v>
      </c>
    </row>
    <row r="13">
      <c r="A13" s="9" t="inlineStr">
        <is>
          <t>2026-03-13</t>
        </is>
      </c>
      <c r="B13" s="9" t="inlineStr">
        <is>
          <t>Moto Medi Amarillo</t>
        </is>
      </c>
      <c r="C13" s="9" t="n">
        <v>400</v>
      </c>
      <c r="D13" s="9" t="n">
        <v>47</v>
      </c>
      <c r="E13" s="9" t="n">
        <v>80</v>
      </c>
      <c r="F13" s="9" t="n">
        <v>273</v>
      </c>
      <c r="G13" s="9" t="n">
        <v>22</v>
      </c>
    </row>
    <row r="14">
      <c r="A14" s="8" t="inlineStr">
        <is>
          <t>2026-03-09</t>
        </is>
      </c>
      <c r="B14" s="8" t="inlineStr">
        <is>
          <t>Moto Medi 3rd</t>
        </is>
      </c>
      <c r="C14" s="8" t="n">
        <v>200</v>
      </c>
      <c r="D14" s="8" t="n">
        <v>25</v>
      </c>
      <c r="E14" s="8" t="n">
        <v>40</v>
      </c>
      <c r="F14" s="8" t="n">
        <v>135</v>
      </c>
      <c r="G14" s="8" t="n">
        <v>11</v>
      </c>
    </row>
    <row r="15">
      <c r="A15" s="9" t="inlineStr">
        <is>
          <t>2026-03-10</t>
        </is>
      </c>
      <c r="B15" s="9" t="inlineStr">
        <is>
          <t>Moto Medi 3rd</t>
        </is>
      </c>
      <c r="C15" s="9" t="n">
        <v>230</v>
      </c>
      <c r="D15" s="9" t="n">
        <v>28</v>
      </c>
      <c r="E15" s="9" t="n">
        <v>46</v>
      </c>
      <c r="F15" s="9" t="n">
        <v>156</v>
      </c>
      <c r="G15" s="9" t="n">
        <v>13</v>
      </c>
    </row>
    <row r="16">
      <c r="A16" s="8" t="inlineStr">
        <is>
          <t>2026-03-11</t>
        </is>
      </c>
      <c r="B16" s="8" t="inlineStr">
        <is>
          <t>Moto Medi 3rd</t>
        </is>
      </c>
      <c r="C16" s="8" t="n">
        <v>270</v>
      </c>
      <c r="D16" s="8" t="n">
        <v>32</v>
      </c>
      <c r="E16" s="8" t="n">
        <v>54</v>
      </c>
      <c r="F16" s="8" t="n">
        <v>184</v>
      </c>
      <c r="G16" s="8" t="n">
        <v>15</v>
      </c>
    </row>
    <row r="17">
      <c r="A17" s="9" t="inlineStr">
        <is>
          <t>2026-03-12</t>
        </is>
      </c>
      <c r="B17" s="9" t="inlineStr">
        <is>
          <t>Moto Medi 3rd</t>
        </is>
      </c>
      <c r="C17" s="9" t="n">
        <v>210</v>
      </c>
      <c r="D17" s="9" t="n">
        <v>26</v>
      </c>
      <c r="E17" s="9" t="n">
        <v>42</v>
      </c>
      <c r="F17" s="9" t="n">
        <v>142</v>
      </c>
      <c r="G17" s="9" t="n">
        <v>12</v>
      </c>
    </row>
    <row r="18">
      <c r="A18" s="8" t="inlineStr">
        <is>
          <t>2026-03-13</t>
        </is>
      </c>
      <c r="B18" s="8" t="inlineStr">
        <is>
          <t>Moto Medi 3rd</t>
        </is>
      </c>
      <c r="C18" s="8" t="n">
        <v>250</v>
      </c>
      <c r="D18" s="8" t="n">
        <v>30</v>
      </c>
      <c r="E18" s="8" t="n">
        <v>50</v>
      </c>
      <c r="F18" s="8" t="n">
        <v>170</v>
      </c>
      <c r="G18" s="8" t="n">
        <v>14</v>
      </c>
    </row>
    <row r="19">
      <c r="A19" s="9" t="inlineStr">
        <is>
          <t>2026-03-09</t>
        </is>
      </c>
      <c r="B19" s="9" t="inlineStr">
        <is>
          <t>Tikka Shack 1</t>
        </is>
      </c>
      <c r="C19" s="9" t="n">
        <v>170</v>
      </c>
      <c r="D19" s="9" t="n">
        <v>21</v>
      </c>
      <c r="E19" s="9" t="n">
        <v>34</v>
      </c>
      <c r="F19" s="9" t="n">
        <v>115</v>
      </c>
      <c r="G19" s="9" t="n">
        <v>9</v>
      </c>
    </row>
    <row r="20">
      <c r="A20" s="8" t="inlineStr">
        <is>
          <t>2026-03-10</t>
        </is>
      </c>
      <c r="B20" s="8" t="inlineStr">
        <is>
          <t>Tikka Shack 1</t>
        </is>
      </c>
      <c r="C20" s="8" t="n">
        <v>190</v>
      </c>
      <c r="D20" s="8" t="n">
        <v>23</v>
      </c>
      <c r="E20" s="8" t="n">
        <v>38</v>
      </c>
      <c r="F20" s="8" t="n">
        <v>129</v>
      </c>
      <c r="G20" s="8" t="n">
        <v>11</v>
      </c>
    </row>
    <row r="21">
      <c r="A21" s="9" t="inlineStr">
        <is>
          <t>2026-03-11</t>
        </is>
      </c>
      <c r="B21" s="9" t="inlineStr">
        <is>
          <t>Tikka Shack 1</t>
        </is>
      </c>
      <c r="C21" s="9" t="n">
        <v>220</v>
      </c>
      <c r="D21" s="9" t="n">
        <v>27</v>
      </c>
      <c r="E21" s="9" t="n">
        <v>44</v>
      </c>
      <c r="F21" s="9" t="n">
        <v>149</v>
      </c>
      <c r="G21" s="9" t="n">
        <v>12</v>
      </c>
    </row>
    <row r="22">
      <c r="A22" s="8" t="inlineStr">
        <is>
          <t>2026-03-12</t>
        </is>
      </c>
      <c r="B22" s="8" t="inlineStr">
        <is>
          <t>Tikka Shack 1</t>
        </is>
      </c>
      <c r="C22" s="8" t="n">
        <v>180</v>
      </c>
      <c r="D22" s="8" t="n">
        <v>22</v>
      </c>
      <c r="E22" s="8" t="n">
        <v>36</v>
      </c>
      <c r="F22" s="8" t="n">
        <v>122</v>
      </c>
      <c r="G22" s="8" t="n">
        <v>10</v>
      </c>
    </row>
    <row r="23">
      <c r="A23" s="9" t="inlineStr">
        <is>
          <t>2026-03-13</t>
        </is>
      </c>
      <c r="B23" s="9" t="inlineStr">
        <is>
          <t>Tikka Shack 1</t>
        </is>
      </c>
      <c r="C23" s="9" t="n">
        <v>240</v>
      </c>
      <c r="D23" s="9" t="n">
        <v>29</v>
      </c>
      <c r="E23" s="9" t="n">
        <v>48</v>
      </c>
      <c r="F23" s="9" t="n">
        <v>163</v>
      </c>
      <c r="G23" s="9" t="n">
        <v>13</v>
      </c>
    </row>
    <row r="24">
      <c r="A24" s="8" t="inlineStr">
        <is>
          <t>2026-03-09</t>
        </is>
      </c>
      <c r="B24" s="8" t="inlineStr">
        <is>
          <t>Tikka Shack 2</t>
        </is>
      </c>
      <c r="C24" s="8" t="n">
        <v>140</v>
      </c>
      <c r="D24" s="8" t="n">
        <v>18</v>
      </c>
      <c r="E24" s="8" t="n">
        <v>28</v>
      </c>
      <c r="F24" s="8" t="n">
        <v>94</v>
      </c>
      <c r="G24" s="8" t="n">
        <v>8</v>
      </c>
    </row>
    <row r="25">
      <c r="A25" s="9" t="inlineStr">
        <is>
          <t>2026-03-10</t>
        </is>
      </c>
      <c r="B25" s="9" t="inlineStr">
        <is>
          <t>Tikka Shack 2</t>
        </is>
      </c>
      <c r="C25" s="9" t="n">
        <v>160</v>
      </c>
      <c r="D25" s="9" t="n">
        <v>20</v>
      </c>
      <c r="E25" s="9" t="n">
        <v>32</v>
      </c>
      <c r="F25" s="9" t="n">
        <v>108</v>
      </c>
      <c r="G25" s="9" t="n">
        <v>9</v>
      </c>
    </row>
    <row r="26">
      <c r="A26" s="8" t="inlineStr">
        <is>
          <t>2026-03-11</t>
        </is>
      </c>
      <c r="B26" s="8" t="inlineStr">
        <is>
          <t>Tikka Shack 2</t>
        </is>
      </c>
      <c r="C26" s="8" t="n">
        <v>190</v>
      </c>
      <c r="D26" s="8" t="n">
        <v>23</v>
      </c>
      <c r="E26" s="8" t="n">
        <v>38</v>
      </c>
      <c r="F26" s="8" t="n">
        <v>129</v>
      </c>
      <c r="G26" s="8" t="n">
        <v>11</v>
      </c>
    </row>
    <row r="27">
      <c r="A27" s="9" t="inlineStr">
        <is>
          <t>2026-03-12</t>
        </is>
      </c>
      <c r="B27" s="9" t="inlineStr">
        <is>
          <t>Tikka Shack 2</t>
        </is>
      </c>
      <c r="C27" s="9" t="n">
        <v>145</v>
      </c>
      <c r="D27" s="9" t="n">
        <v>18</v>
      </c>
      <c r="E27" s="9" t="n">
        <v>29</v>
      </c>
      <c r="F27" s="9" t="n">
        <v>98</v>
      </c>
      <c r="G27" s="9" t="n">
        <v>8</v>
      </c>
    </row>
    <row r="28">
      <c r="A28" s="8" t="inlineStr">
        <is>
          <t>2026-03-13</t>
        </is>
      </c>
      <c r="B28" s="8" t="inlineStr">
        <is>
          <t>Tikka Shack 2</t>
        </is>
      </c>
      <c r="C28" s="8" t="n">
        <v>200</v>
      </c>
      <c r="D28" s="8" t="n">
        <v>24</v>
      </c>
      <c r="E28" s="8" t="n">
        <v>40</v>
      </c>
      <c r="F28" s="8" t="n">
        <v>136</v>
      </c>
      <c r="G28" s="8" t="n">
        <v>11</v>
      </c>
    </row>
    <row r="30">
      <c r="A30" s="10" t="inlineStr">
        <is>
          <t>Last Updated:</t>
        </is>
      </c>
      <c r="B3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4A86C8"/>
    <outlinePr summaryBelow="1" summaryRight="1"/>
    <pageSetUpPr/>
  </sheetPr>
  <dimension ref="A1:G20"/>
  <sheetViews>
    <sheetView workbookViewId="0">
      <pane ySplit="2" topLeftCell="A3" activePane="bottomLeft" state="frozen"/>
      <selection pane="bottomLeft" activeCell="A1" sqref="A1"/>
    </sheetView>
  </sheetViews>
  <sheetFormatPr baseColWidth="8" defaultRowHeight="15"/>
  <cols>
    <col width="16" customWidth="1" min="1" max="1"/>
    <col width="18" customWidth="1" min="2" max="2"/>
    <col width="20" customWidth="1" min="3" max="3"/>
    <col width="12" customWidth="1" min="4" max="4"/>
    <col width="12" customWidth="1" min="5" max="5"/>
    <col width="14" customWidth="1" min="6" max="6"/>
    <col width="10" customWidth="1" min="7" max="7"/>
  </cols>
  <sheetData>
    <row r="1" ht="20" customHeight="1">
      <c r="A1" s="4" t="inlineStr">
        <is>
          <t>PLACEHOLDER HEADERS — Update row 2 to match your actual CSV export column names exactly.</t>
        </is>
      </c>
    </row>
    <row r="2">
      <c r="A2" s="5" t="inlineStr">
        <is>
          <t>Invoice Date</t>
        </is>
      </c>
      <c r="B2" s="5" t="inlineStr">
        <is>
          <t>Invoice Number</t>
        </is>
      </c>
      <c r="C2" s="5" t="inlineStr">
        <is>
          <t>Item Description</t>
        </is>
      </c>
      <c r="D2" s="5" t="inlineStr">
        <is>
          <t>Category</t>
        </is>
      </c>
      <c r="E2" s="5" t="inlineStr">
        <is>
          <t>Quantity</t>
        </is>
      </c>
      <c r="F2" s="5" t="inlineStr">
        <is>
          <t>Unit Price</t>
        </is>
      </c>
      <c r="G2" s="5" t="inlineStr">
        <is>
          <t>Total</t>
        </is>
      </c>
    </row>
    <row r="3" ht="22" customHeight="1">
      <c r="A3" s="6" t="inlineStr">
        <is>
          <t>[Invoice Date — text/date]</t>
        </is>
      </c>
      <c r="B3" s="6" t="inlineStr">
        <is>
          <t>[Invoice Number — text/date]</t>
        </is>
      </c>
      <c r="C3" s="6" t="inlineStr">
        <is>
          <t>[Item Description — text/date]</t>
        </is>
      </c>
      <c r="D3" s="6" t="inlineStr">
        <is>
          <t>[Category — text/date]</t>
        </is>
      </c>
      <c r="E3" s="7">
        <f>IF(ISNUMBER(INDEX(BEK-Import!A:Z,4,MATCH("Quantity",BEK-Import!2:2,0))),"OK","PASTE ERROR - Quantity is not a number")</f>
        <v/>
      </c>
      <c r="F3" s="6" t="inlineStr">
        <is>
          <t>[Unit Price — text/date]</t>
        </is>
      </c>
      <c r="G3" s="7">
        <f>IF(ISNUMBER(INDEX(BEK-Import!A:Z,4,MATCH("Total",BEK-Import!2:2,0))),"OK","PASTE ERROR - Total is not a number")</f>
        <v/>
      </c>
    </row>
    <row r="4">
      <c r="A4" s="8" t="inlineStr">
        <is>
          <t>2026-03-10</t>
        </is>
      </c>
      <c r="B4" s="8" t="inlineStr">
        <is>
          <t>INV-2026-0901</t>
        </is>
      </c>
      <c r="C4" s="8" t="inlineStr">
        <is>
          <t>Chicken Thighs 40lb Case</t>
        </is>
      </c>
      <c r="D4" s="8" t="inlineStr">
        <is>
          <t>Food</t>
        </is>
      </c>
      <c r="E4" s="8" t="n">
        <v>2</v>
      </c>
      <c r="F4" s="8" t="n">
        <v>89.5</v>
      </c>
      <c r="G4" s="8" t="n">
        <v>179</v>
      </c>
    </row>
    <row r="5">
      <c r="A5" s="9" t="inlineStr">
        <is>
          <t>2026-03-10</t>
        </is>
      </c>
      <c r="B5" s="9" t="inlineStr">
        <is>
          <t>INV-2026-0901</t>
        </is>
      </c>
      <c r="C5" s="9" t="inlineStr">
        <is>
          <t>Jasmine Rice 50lb Bag</t>
        </is>
      </c>
      <c r="D5" s="9" t="inlineStr">
        <is>
          <t>Food</t>
        </is>
      </c>
      <c r="E5" s="9" t="n">
        <v>3</v>
      </c>
      <c r="F5" s="9" t="n">
        <v>42</v>
      </c>
      <c r="G5" s="9" t="n">
        <v>126</v>
      </c>
    </row>
    <row r="6">
      <c r="A6" s="8" t="inlineStr">
        <is>
          <t>2026-03-10</t>
        </is>
      </c>
      <c r="B6" s="8" t="inlineStr">
        <is>
          <t>INV-2026-0901</t>
        </is>
      </c>
      <c r="C6" s="8" t="inlineStr">
        <is>
          <t>Canola Oil 35lb Jug</t>
        </is>
      </c>
      <c r="D6" s="8" t="inlineStr">
        <is>
          <t>Food</t>
        </is>
      </c>
      <c r="E6" s="8" t="n">
        <v>4</v>
      </c>
      <c r="F6" s="8" t="n">
        <v>38.75</v>
      </c>
      <c r="G6" s="8" t="n">
        <v>155</v>
      </c>
    </row>
    <row r="7">
      <c r="A7" s="9" t="inlineStr">
        <is>
          <t>2026-03-10</t>
        </is>
      </c>
      <c r="B7" s="9" t="inlineStr">
        <is>
          <t>INV-2026-0901</t>
        </is>
      </c>
      <c r="C7" s="9" t="inlineStr">
        <is>
          <t>To-Go Containers 200ct</t>
        </is>
      </c>
      <c r="D7" s="9" t="inlineStr">
        <is>
          <t>Supplies</t>
        </is>
      </c>
      <c r="E7" s="9" t="n">
        <v>5</v>
      </c>
      <c r="F7" s="9" t="n">
        <v>18.5</v>
      </c>
      <c r="G7" s="9" t="n">
        <v>92.5</v>
      </c>
    </row>
    <row r="8">
      <c r="A8" s="8" t="inlineStr">
        <is>
          <t>2026-03-10</t>
        </is>
      </c>
      <c r="B8" s="8" t="inlineStr">
        <is>
          <t>INV-2026-0901</t>
        </is>
      </c>
      <c r="C8" s="8" t="inlineStr">
        <is>
          <t>Napkins 4000ct</t>
        </is>
      </c>
      <c r="D8" s="8" t="inlineStr">
        <is>
          <t>Supplies</t>
        </is>
      </c>
      <c r="E8" s="8" t="n">
        <v>2</v>
      </c>
      <c r="F8" s="8" t="n">
        <v>22</v>
      </c>
      <c r="G8" s="8" t="n">
        <v>44</v>
      </c>
    </row>
    <row r="9">
      <c r="A9" s="9" t="inlineStr">
        <is>
          <t>2026-03-10</t>
        </is>
      </c>
      <c r="B9" s="9" t="inlineStr">
        <is>
          <t>INV-2026-0902</t>
        </is>
      </c>
      <c r="C9" s="9" t="inlineStr">
        <is>
          <t>Ground Beef 80/20 40lb</t>
        </is>
      </c>
      <c r="D9" s="9" t="inlineStr">
        <is>
          <t>Food</t>
        </is>
      </c>
      <c r="E9" s="9" t="n">
        <v>3</v>
      </c>
      <c r="F9" s="9" t="n">
        <v>92</v>
      </c>
      <c r="G9" s="9" t="n">
        <v>276</v>
      </c>
    </row>
    <row r="10">
      <c r="A10" s="8" t="inlineStr">
        <is>
          <t>2026-03-10</t>
        </is>
      </c>
      <c r="B10" s="8" t="inlineStr">
        <is>
          <t>INV-2026-0902</t>
        </is>
      </c>
      <c r="C10" s="8" t="inlineStr">
        <is>
          <t>Paneer 10lb</t>
        </is>
      </c>
      <c r="D10" s="8" t="inlineStr">
        <is>
          <t>Food</t>
        </is>
      </c>
      <c r="E10" s="8" t="n">
        <v>4</v>
      </c>
      <c r="F10" s="8" t="n">
        <v>28.5</v>
      </c>
      <c r="G10" s="8" t="n">
        <v>114</v>
      </c>
    </row>
    <row r="11">
      <c r="A11" s="9" t="inlineStr">
        <is>
          <t>2026-03-10</t>
        </is>
      </c>
      <c r="B11" s="9" t="inlineStr">
        <is>
          <t>INV-2026-0902</t>
        </is>
      </c>
      <c r="C11" s="9" t="inlineStr">
        <is>
          <t>Spice Blend — Tikka Masala</t>
        </is>
      </c>
      <c r="D11" s="9" t="inlineStr">
        <is>
          <t>Food</t>
        </is>
      </c>
      <c r="E11" s="9" t="n">
        <v>6</v>
      </c>
      <c r="F11" s="9" t="n">
        <v>14</v>
      </c>
      <c r="G11" s="9" t="n">
        <v>84</v>
      </c>
    </row>
    <row r="12">
      <c r="A12" s="8" t="inlineStr">
        <is>
          <t>2026-03-10</t>
        </is>
      </c>
      <c r="B12" s="8" t="inlineStr">
        <is>
          <t>INV-2026-0902</t>
        </is>
      </c>
      <c r="C12" s="8" t="inlineStr">
        <is>
          <t>Gloves Medium 100ct Box</t>
        </is>
      </c>
      <c r="D12" s="8" t="inlineStr">
        <is>
          <t>Supplies</t>
        </is>
      </c>
      <c r="E12" s="8" t="n">
        <v>8</v>
      </c>
      <c r="F12" s="8" t="n">
        <v>9.75</v>
      </c>
      <c r="G12" s="8" t="n">
        <v>78</v>
      </c>
    </row>
    <row r="13">
      <c r="A13" s="9" t="inlineStr">
        <is>
          <t>2026-03-10</t>
        </is>
      </c>
      <c r="B13" s="9" t="inlineStr">
        <is>
          <t>INV-2026-0902</t>
        </is>
      </c>
      <c r="C13" s="9" t="inlineStr">
        <is>
          <t>Cleaning Supplies Bundle</t>
        </is>
      </c>
      <c r="D13" s="9" t="inlineStr">
        <is>
          <t>Supplies</t>
        </is>
      </c>
      <c r="E13" s="9" t="n">
        <v>3</v>
      </c>
      <c r="F13" s="9" t="n">
        <v>31</v>
      </c>
      <c r="G13" s="9" t="n">
        <v>93</v>
      </c>
    </row>
    <row r="14">
      <c r="A14" s="8" t="inlineStr">
        <is>
          <t>2026-03-13</t>
        </is>
      </c>
      <c r="B14" s="8" t="inlineStr">
        <is>
          <t>INV-2026-0944</t>
        </is>
      </c>
      <c r="C14" s="8" t="inlineStr">
        <is>
          <t>Chicken Thighs 40lb Case</t>
        </is>
      </c>
      <c r="D14" s="8" t="inlineStr">
        <is>
          <t>Food</t>
        </is>
      </c>
      <c r="E14" s="8" t="n">
        <v>3</v>
      </c>
      <c r="F14" s="8" t="n">
        <v>89.5</v>
      </c>
      <c r="G14" s="8" t="n">
        <v>268.5</v>
      </c>
    </row>
    <row r="15">
      <c r="A15" s="9" t="inlineStr">
        <is>
          <t>2026-03-13</t>
        </is>
      </c>
      <c r="B15" s="9" t="inlineStr">
        <is>
          <t>INV-2026-0944</t>
        </is>
      </c>
      <c r="C15" s="9" t="inlineStr">
        <is>
          <t>Flatbread Dough 12pk</t>
        </is>
      </c>
      <c r="D15" s="9" t="inlineStr">
        <is>
          <t>Food</t>
        </is>
      </c>
      <c r="E15" s="9" t="n">
        <v>6</v>
      </c>
      <c r="F15" s="9" t="n">
        <v>19</v>
      </c>
      <c r="G15" s="9" t="n">
        <v>114</v>
      </c>
    </row>
    <row r="16">
      <c r="A16" s="8" t="inlineStr">
        <is>
          <t>2026-03-13</t>
        </is>
      </c>
      <c r="B16" s="8" t="inlineStr">
        <is>
          <t>INV-2026-0944</t>
        </is>
      </c>
      <c r="C16" s="8" t="inlineStr">
        <is>
          <t>Lentils 25lb Bag</t>
        </is>
      </c>
      <c r="D16" s="8" t="inlineStr">
        <is>
          <t>Food</t>
        </is>
      </c>
      <c r="E16" s="8" t="n">
        <v>2</v>
      </c>
      <c r="F16" s="8" t="n">
        <v>31</v>
      </c>
      <c r="G16" s="8" t="n">
        <v>62</v>
      </c>
    </row>
    <row r="17">
      <c r="A17" s="9" t="inlineStr">
        <is>
          <t>2026-03-13</t>
        </is>
      </c>
      <c r="B17" s="9" t="inlineStr">
        <is>
          <t>INV-2026-0944</t>
        </is>
      </c>
      <c r="C17" s="9" t="inlineStr">
        <is>
          <t>Sauces — Proprietary Blend</t>
        </is>
      </c>
      <c r="D17" s="9" t="inlineStr">
        <is>
          <t>Food</t>
        </is>
      </c>
      <c r="E17" s="9" t="n">
        <v>4</v>
      </c>
      <c r="F17" s="9" t="n">
        <v>24</v>
      </c>
      <c r="G17" s="9" t="n">
        <v>96</v>
      </c>
    </row>
    <row r="18">
      <c r="A18" s="8" t="inlineStr">
        <is>
          <t>2026-03-13</t>
        </is>
      </c>
      <c r="B18" s="8" t="inlineStr">
        <is>
          <t>INV-2026-0944</t>
        </is>
      </c>
      <c r="C18" s="8" t="inlineStr">
        <is>
          <t>Kraft Paper Roll 300ft</t>
        </is>
      </c>
      <c r="D18" s="8" t="inlineStr">
        <is>
          <t>Supplies</t>
        </is>
      </c>
      <c r="E18" s="8" t="n">
        <v>2</v>
      </c>
      <c r="F18" s="8" t="n">
        <v>27.5</v>
      </c>
      <c r="G18" s="8" t="n">
        <v>55</v>
      </c>
    </row>
    <row r="20">
      <c r="A20" s="10" t="inlineStr">
        <is>
          <t>Last Updated:</t>
        </is>
      </c>
      <c r="B20" s="11" t="inlineStr"/>
    </row>
  </sheetData>
  <mergeCells count="1">
    <mergeCell ref="A1:G1"/>
  </mergeCells>
  <conditionalFormatting sqref="A3">
    <cfRule type="expression" priority="1" dxfId="0" stopIfTrue="0">
      <formula>=A3="OK"</formula>
    </cfRule>
  </conditionalFormatting>
  <conditionalFormatting sqref="B3">
    <cfRule type="expression" priority="2" dxfId="0" stopIfTrue="0">
      <formula>=B3="OK"</formula>
    </cfRule>
  </conditionalFormatting>
  <conditionalFormatting sqref="C3">
    <cfRule type="expression" priority="3" dxfId="0" stopIfTrue="0">
      <formula>=C3="OK"</formula>
    </cfRule>
  </conditionalFormatting>
  <conditionalFormatting sqref="D3">
    <cfRule type="expression" priority="4" dxfId="0" stopIfTrue="0">
      <formula>=D3="OK"</formula>
    </cfRule>
  </conditionalFormatting>
  <conditionalFormatting sqref="E3">
    <cfRule type="expression" priority="5" dxfId="0" stopIfTrue="0">
      <formula>=E3="OK"</formula>
    </cfRule>
  </conditionalFormatting>
  <conditionalFormatting sqref="F3">
    <cfRule type="expression" priority="6" dxfId="0" stopIfTrue="0">
      <formula>=F3="OK"</formula>
    </cfRule>
  </conditionalFormatting>
  <conditionalFormatting sqref="G3">
    <cfRule type="expression" priority="7" dxfId="0" stopIfTrue="0">
      <formula>=G3="OK"</formula>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6AA84F"/>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9" customWidth="1" min="1" max="1"/>
    <col width="17" customWidth="1" min="2" max="2"/>
    <col width="14" customWidth="1" min="3" max="3"/>
    <col width="17" customWidth="1" min="4" max="4"/>
    <col width="15" customWidth="1" min="5" max="5"/>
    <col width="14" customWidth="1" min="6" max="6"/>
    <col width="11" customWidth="1" min="7" max="7"/>
  </cols>
  <sheetData>
    <row r="1">
      <c r="A1" s="12" t="inlineStr">
        <is>
          <t>Employee Name</t>
        </is>
      </c>
      <c r="B1" s="12" t="inlineStr">
        <is>
          <t>Square Name</t>
        </is>
      </c>
      <c r="C1" s="12" t="inlineStr">
        <is>
          <t>Location</t>
        </is>
      </c>
      <c r="D1" s="12" t="inlineStr">
        <is>
          <t>Hourly Rate</t>
        </is>
      </c>
      <c r="E1" s="12" t="inlineStr">
        <is>
          <t>Hire Date</t>
        </is>
      </c>
      <c r="F1" s="12" t="inlineStr">
        <is>
          <t>Pay Tier</t>
        </is>
      </c>
      <c r="G1" s="12" t="inlineStr">
        <is>
          <t>Notes</t>
        </is>
      </c>
    </row>
    <row r="2">
      <c r="A2" s="8" t="inlineStr">
        <is>
          <t>Marcus Johnson</t>
        </is>
      </c>
      <c r="B2" s="8" t="inlineStr">
        <is>
          <t>Marcus Johnson</t>
        </is>
      </c>
      <c r="C2" s="8" t="inlineStr">
        <is>
          <t>MML</t>
        </is>
      </c>
      <c r="D2" s="13" t="n">
        <v>16.5</v>
      </c>
      <c r="E2" s="14" t="inlineStr">
        <is>
          <t>2024-06-01</t>
        </is>
      </c>
      <c r="F2" s="8" t="inlineStr">
        <is>
          <t>Line Cook</t>
        </is>
      </c>
      <c r="G2" s="8" t="inlineStr">
        <is>
          <t>Lead cook — Lubbock</t>
        </is>
      </c>
    </row>
    <row r="3">
      <c r="A3" s="9" t="inlineStr">
        <is>
          <t>Ashley Torres</t>
        </is>
      </c>
      <c r="B3" s="9" t="inlineStr">
        <is>
          <t>Ashley Torres</t>
        </is>
      </c>
      <c r="C3" s="9" t="inlineStr">
        <is>
          <t>MML</t>
        </is>
      </c>
      <c r="D3" s="15" t="n">
        <v>14</v>
      </c>
      <c r="E3" s="16" t="inlineStr">
        <is>
          <t>2024-09-15</t>
        </is>
      </c>
      <c r="F3" s="9" t="inlineStr">
        <is>
          <t>Cashier</t>
        </is>
      </c>
      <c r="G3" s="9" t="inlineStr">
        <is>
          <t>Cross-trained on prep</t>
        </is>
      </c>
    </row>
    <row r="4">
      <c r="A4" s="8" t="inlineStr">
        <is>
          <t>Destiny Williams</t>
        </is>
      </c>
      <c r="B4" s="8" t="inlineStr">
        <is>
          <t>Destiny Williams</t>
        </is>
      </c>
      <c r="C4" s="8" t="inlineStr">
        <is>
          <t>MMA</t>
        </is>
      </c>
      <c r="D4" s="13" t="n">
        <v>14.5</v>
      </c>
      <c r="E4" s="14" t="inlineStr">
        <is>
          <t>2025-01-10</t>
        </is>
      </c>
      <c r="F4" s="8" t="inlineStr">
        <is>
          <t>Cashier</t>
        </is>
      </c>
      <c r="G4" s="8" t="inlineStr"/>
    </row>
    <row r="5">
      <c r="A5" s="9" t="inlineStr">
        <is>
          <t>Robert Kim</t>
        </is>
      </c>
      <c r="B5" s="9" t="inlineStr">
        <is>
          <t>Robert Kim</t>
        </is>
      </c>
      <c r="C5" s="9" t="inlineStr">
        <is>
          <t>MMA</t>
        </is>
      </c>
      <c r="D5" s="15" t="n">
        <v>15.75</v>
      </c>
      <c r="E5" s="16" t="inlineStr">
        <is>
          <t>2024-08-20</t>
        </is>
      </c>
      <c r="F5" s="9" t="inlineStr">
        <is>
          <t>Line Cook</t>
        </is>
      </c>
      <c r="G5" s="9" t="inlineStr"/>
    </row>
    <row r="6">
      <c r="A6" s="8" t="inlineStr">
        <is>
          <t>Jake Hernandez</t>
        </is>
      </c>
      <c r="B6" s="8" t="inlineStr">
        <is>
          <t>Jake Hernandez</t>
        </is>
      </c>
      <c r="C6" s="8" t="inlineStr">
        <is>
          <t>MM3</t>
        </is>
      </c>
      <c r="D6" s="13" t="n">
        <v>15</v>
      </c>
      <c r="E6" s="14" t="inlineStr">
        <is>
          <t>2025-03-01</t>
        </is>
      </c>
      <c r="F6" s="8" t="inlineStr">
        <is>
          <t>Line Cook</t>
        </is>
      </c>
      <c r="G6" s="8" t="inlineStr">
        <is>
          <t>Newer location</t>
        </is>
      </c>
    </row>
    <row r="7">
      <c r="A7" s="9" t="inlineStr">
        <is>
          <t>Priya Patel</t>
        </is>
      </c>
      <c r="B7" s="9" t="inlineStr">
        <is>
          <t>Priya Patel</t>
        </is>
      </c>
      <c r="C7" s="9" t="inlineStr">
        <is>
          <t>TS1</t>
        </is>
      </c>
      <c r="D7" s="15" t="n">
        <v>16</v>
      </c>
      <c r="E7" s="16" t="inlineStr">
        <is>
          <t>2024-07-14</t>
        </is>
      </c>
      <c r="F7" s="9" t="inlineStr">
        <is>
          <t>Line Cook</t>
        </is>
      </c>
      <c r="G7" s="9" t="inlineStr">
        <is>
          <t>Tikka Shack specialist</t>
        </is>
      </c>
    </row>
    <row r="8">
      <c r="A8" s="8" t="inlineStr">
        <is>
          <t>Carlos Rivera</t>
        </is>
      </c>
      <c r="B8" s="8" t="inlineStr">
        <is>
          <t>Carlos Rivera</t>
        </is>
      </c>
      <c r="C8" s="8" t="inlineStr">
        <is>
          <t>TS1</t>
        </is>
      </c>
      <c r="D8" s="13" t="n">
        <v>13.5</v>
      </c>
      <c r="E8" s="14" t="inlineStr">
        <is>
          <t>2025-02-01</t>
        </is>
      </c>
      <c r="F8" s="8" t="inlineStr">
        <is>
          <t>Cashier</t>
        </is>
      </c>
      <c r="G8" s="8" t="inlineStr"/>
    </row>
    <row r="9">
      <c r="A9" s="9" t="inlineStr">
        <is>
          <t>Keisha Brown</t>
        </is>
      </c>
      <c r="B9" s="9" t="inlineStr">
        <is>
          <t>Keisha Brown</t>
        </is>
      </c>
      <c r="C9" s="9" t="inlineStr">
        <is>
          <t>TS2</t>
        </is>
      </c>
      <c r="D9" s="15" t="n">
        <v>14.25</v>
      </c>
      <c r="E9" s="16" t="inlineStr">
        <is>
          <t>2024-11-05</t>
        </is>
      </c>
      <c r="F9" s="9" t="inlineStr">
        <is>
          <t>Line Cook</t>
        </is>
      </c>
      <c r="G9" s="9" t="inlineStr"/>
    </row>
    <row r="10">
      <c r="A10" s="8" t="inlineStr">
        <is>
          <t>Devon Scott</t>
        </is>
      </c>
      <c r="B10" s="8" t="inlineStr">
        <is>
          <t>Devon Scott</t>
        </is>
      </c>
      <c r="C10" s="8" t="inlineStr">
        <is>
          <t>MML</t>
        </is>
      </c>
      <c r="D10" s="13" t="n">
        <v>12.5</v>
      </c>
      <c r="E10" s="14" t="inlineStr">
        <is>
          <t>2025-10-20</t>
        </is>
      </c>
      <c r="F10" s="8" t="inlineStr">
        <is>
          <t>Kitchen Help</t>
        </is>
      </c>
      <c r="G10" s="8" t="inlineStr">
        <is>
          <t>Part-time</t>
        </is>
      </c>
    </row>
    <row r="11">
      <c r="A11" s="9" t="inlineStr">
        <is>
          <t>Jasmine Lee</t>
        </is>
      </c>
      <c r="B11" s="9" t="inlineStr">
        <is>
          <t>Jasmine Lee</t>
        </is>
      </c>
      <c r="C11" s="9" t="inlineStr">
        <is>
          <t>TS2</t>
        </is>
      </c>
      <c r="D11" s="15" t="n">
        <v>13</v>
      </c>
      <c r="E11" s="16" t="inlineStr">
        <is>
          <t>2025-11-01</t>
        </is>
      </c>
      <c r="F11" s="9" t="inlineStr">
        <is>
          <t>Cashier</t>
        </is>
      </c>
      <c r="G11" s="9" t="inlineStr">
        <is>
          <t>Part-time</t>
        </is>
      </c>
    </row>
    <row r="13" ht="40" customHeight="1">
      <c r="A13" s="17" t="inlineStr">
        <is>
          <t>NOTE: 'Square Name' must match the employee name exactly as it appears in Square's clock-in export. This is the VLOOKUP key for labor cost calculations. Nicknames, capitalization, and spacing must match.</t>
        </is>
      </c>
    </row>
  </sheetData>
  <mergeCells count="1">
    <mergeCell ref="A13:G13"/>
  </mergeCells>
  <dataValidations count="1">
    <dataValidation sqref="C2 C3 C4 C5 C6 C7 C8 C9 C10 C11" showDropDown="0" showInputMessage="0" showErrorMessage="1" allowBlank="1" errorTitle="Invalid Location" error="Please select one of: MML,MMA,MM3,TS1,TS2" type="list">
      <formula1>"MML,MMA,MM3,TS1,TS2"</formula1>
    </dataValidation>
  </dataValidations>
  <pageMargins left="0.75" right="0.75" top="1" bottom="1" header="0.5" footer="0.5"/>
</worksheet>
</file>

<file path=xl/worksheets/sheet8.xml><?xml version="1.0" encoding="utf-8"?>
<worksheet xmlns="http://schemas.openxmlformats.org/spreadsheetml/2006/main">
  <sheetPr>
    <tabColor rgb="00F4A442"/>
    <outlinePr summaryBelow="1" summaryRight="1"/>
    <pageSetUpPr/>
  </sheetPr>
  <dimension ref="A1:Z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9" customWidth="1" min="2" max="2"/>
    <col width="23" customWidth="1" min="3" max="3"/>
    <col width="20" customWidth="1" min="4" max="4"/>
    <col width="14" customWidth="1" min="5" max="5"/>
    <col width="18" customWidth="1" min="6" max="6"/>
    <col width="19" customWidth="1" min="7" max="7"/>
    <col width="23" customWidth="1" min="8" max="8"/>
    <col width="20" customWidth="1" min="9" max="9"/>
    <col width="14" customWidth="1" min="10" max="10"/>
    <col width="18" customWidth="1" min="11" max="11"/>
    <col width="19" customWidth="1" min="12" max="12"/>
    <col width="23" customWidth="1" min="13" max="13"/>
    <col width="20" customWidth="1" min="14" max="14"/>
    <col width="14" customWidth="1" min="15" max="15"/>
    <col width="18" customWidth="1" min="16" max="16"/>
    <col width="19" customWidth="1" min="17" max="17"/>
    <col width="23" customWidth="1" min="18" max="18"/>
    <col width="20" customWidth="1" min="19" max="19"/>
    <col width="14" customWidth="1" min="20" max="20"/>
    <col width="18" customWidth="1" min="21" max="21"/>
    <col width="19" customWidth="1" min="22" max="22"/>
    <col width="23" customWidth="1" min="23" max="23"/>
    <col width="20" customWidth="1" min="24" max="24"/>
    <col width="14" customWidth="1" min="25" max="25"/>
    <col width="18" customWidth="1" min="26" max="26"/>
  </cols>
  <sheetData>
    <row r="1" ht="30" customHeight="1">
      <c r="A1" s="12" t="inlineStr">
        <is>
          <t>Week Ending</t>
        </is>
      </c>
      <c r="B1" s="12" t="inlineStr">
        <is>
          <t>MML Net Revenue</t>
        </is>
      </c>
      <c r="C1" s="12" t="inlineStr">
        <is>
          <t>MML Purchase Cost %</t>
        </is>
      </c>
      <c r="D1" s="12" t="inlineStr">
        <is>
          <t>MML Labor Cost %</t>
        </is>
      </c>
      <c r="E1" s="12" t="inlineStr">
        <is>
          <t>MML Orders</t>
        </is>
      </c>
      <c r="F1" s="12" t="inlineStr">
        <is>
          <t>MML Avg Ticket</t>
        </is>
      </c>
      <c r="G1" s="12" t="inlineStr">
        <is>
          <t>MMA Net Revenue</t>
        </is>
      </c>
      <c r="H1" s="12" t="inlineStr">
        <is>
          <t>MMA Purchase Cost %</t>
        </is>
      </c>
      <c r="I1" s="12" t="inlineStr">
        <is>
          <t>MMA Labor Cost %</t>
        </is>
      </c>
      <c r="J1" s="12" t="inlineStr">
        <is>
          <t>MMA Orders</t>
        </is>
      </c>
      <c r="K1" s="12" t="inlineStr">
        <is>
          <t>MMA Avg Ticket</t>
        </is>
      </c>
      <c r="L1" s="12" t="inlineStr">
        <is>
          <t>MM3 Net Revenue</t>
        </is>
      </c>
      <c r="M1" s="12" t="inlineStr">
        <is>
          <t>MM3 Purchase Cost %</t>
        </is>
      </c>
      <c r="N1" s="12" t="inlineStr">
        <is>
          <t>MM3 Labor Cost %</t>
        </is>
      </c>
      <c r="O1" s="12" t="inlineStr">
        <is>
          <t>MM3 Orders</t>
        </is>
      </c>
      <c r="P1" s="12" t="inlineStr">
        <is>
          <t>MM3 Avg Ticket</t>
        </is>
      </c>
      <c r="Q1" s="12" t="inlineStr">
        <is>
          <t>TS1 Net Revenue</t>
        </is>
      </c>
      <c r="R1" s="12" t="inlineStr">
        <is>
          <t>TS1 Purchase Cost %</t>
        </is>
      </c>
      <c r="S1" s="12" t="inlineStr">
        <is>
          <t>TS1 Labor Cost %</t>
        </is>
      </c>
      <c r="T1" s="12" t="inlineStr">
        <is>
          <t>TS1 Orders</t>
        </is>
      </c>
      <c r="U1" s="12" t="inlineStr">
        <is>
          <t>TS1 Avg Ticket</t>
        </is>
      </c>
      <c r="V1" s="12" t="inlineStr">
        <is>
          <t>TS2 Net Revenue</t>
        </is>
      </c>
      <c r="W1" s="12" t="inlineStr">
        <is>
          <t>TS2 Purchase Cost %</t>
        </is>
      </c>
      <c r="X1" s="12" t="inlineStr">
        <is>
          <t>TS2 Labor Cost %</t>
        </is>
      </c>
      <c r="Y1" s="12" t="inlineStr">
        <is>
          <t>TS2 Orders</t>
        </is>
      </c>
      <c r="Z1" s="12" t="inlineStr">
        <is>
          <t>TS2 Avg Ticket</t>
        </is>
      </c>
    </row>
    <row r="2">
      <c r="A2" s="18" t="inlineStr">
        <is>
          <t>2026-03-09</t>
        </is>
      </c>
      <c r="B2" s="19" t="n">
        <v>12050</v>
      </c>
      <c r="C2" s="20" t="n">
        <v>0.284</v>
      </c>
      <c r="D2" s="20" t="n">
        <v>0.312</v>
      </c>
      <c r="E2" s="21" t="n">
        <v>387</v>
      </c>
      <c r="F2" s="21" t="n">
        <v>19.1</v>
      </c>
      <c r="G2" s="19" t="n">
        <v>9820</v>
      </c>
      <c r="H2" s="20" t="n">
        <v>0.301</v>
      </c>
      <c r="I2" s="20" t="n">
        <v>0.298</v>
      </c>
      <c r="J2" s="21" t="n">
        <v>321</v>
      </c>
      <c r="K2" s="21" t="n">
        <v>18.85</v>
      </c>
      <c r="L2" s="19" t="n">
        <v>7640</v>
      </c>
      <c r="M2" s="20" t="n">
        <v>0.318</v>
      </c>
      <c r="N2" s="20" t="n">
        <v>0.305</v>
      </c>
      <c r="O2" s="21" t="n">
        <v>258</v>
      </c>
      <c r="P2" s="21" t="n">
        <v>18.92</v>
      </c>
      <c r="Q2" s="19" t="n">
        <v>6510</v>
      </c>
      <c r="R2" s="20" t="n">
        <v>0.312</v>
      </c>
      <c r="S2" s="20" t="n">
        <v>0.321</v>
      </c>
      <c r="T2" s="21" t="n">
        <v>215</v>
      </c>
      <c r="U2" s="21" t="n">
        <v>18.65</v>
      </c>
      <c r="V2" s="19" t="n">
        <v>5890</v>
      </c>
      <c r="W2" s="20" t="n">
        <v>0.296</v>
      </c>
      <c r="X2" s="20" t="n">
        <v>0.334</v>
      </c>
      <c r="Y2" s="21" t="n">
        <v>182</v>
      </c>
      <c r="Z2" s="21" t="n">
        <v>18.88</v>
      </c>
    </row>
    <row r="3">
      <c r="A3" s="22" t="inlineStr">
        <is>
          <t>2026-03-16</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99999"/>
    <outlinePr summaryBelow="1" summaryRight="1"/>
    <pageSetUpPr/>
  </sheetPr>
  <dimension ref="A1:F20"/>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2" customWidth="1" min="5" max="5"/>
  </cols>
  <sheetData>
    <row r="1" ht="28" customHeight="1">
      <c r="A1" s="23" t="inlineStr">
        <is>
          <t>Moto Medi Lubbock</t>
        </is>
      </c>
    </row>
    <row r="2">
      <c r="A2" s="24" t="inlineStr">
        <is>
          <t>Week Ending:</t>
        </is>
      </c>
      <c r="B2" s="11" t="inlineStr"/>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t="n"/>
      <c r="C5" s="27" t="n"/>
      <c r="D5" s="27" t="n"/>
      <c r="E5" s="28" t="n"/>
    </row>
    <row r="6">
      <c r="A6" s="26" t="inlineStr">
        <is>
          <t>DoorDash Net Revenue</t>
        </is>
      </c>
      <c r="B6" s="27" t="n"/>
      <c r="C6" s="27" t="n"/>
      <c r="D6" s="27" t="n"/>
      <c r="E6" s="28" t="n"/>
    </row>
    <row r="7">
      <c r="A7" s="26" t="inlineStr">
        <is>
          <t>UberEats Net Revenue</t>
        </is>
      </c>
      <c r="B7" s="27" t="n"/>
      <c r="C7" s="27" t="n"/>
      <c r="D7" s="27" t="n"/>
      <c r="E7" s="28" t="n"/>
    </row>
    <row r="8">
      <c r="A8" s="26" t="inlineStr">
        <is>
          <t>Grubhub Net Revenue</t>
        </is>
      </c>
      <c r="B8" s="27" t="n"/>
      <c r="C8" s="27" t="n"/>
      <c r="D8" s="27" t="n"/>
      <c r="E8" s="28" t="n"/>
    </row>
    <row r="9">
      <c r="A9" s="29" t="inlineStr">
        <is>
          <t>Total Net Revenue</t>
        </is>
      </c>
      <c r="B9" s="30" t="n"/>
      <c r="C9" s="30" t="n"/>
      <c r="D9" s="30" t="n"/>
      <c r="E9" s="31" t="n"/>
    </row>
    <row r="10">
      <c r="A10" s="25" t="inlineStr">
        <is>
          <t>Cost Metrics</t>
        </is>
      </c>
    </row>
    <row r="11">
      <c r="A11" s="26" t="inlineStr">
        <is>
          <t>BEK Purchases</t>
        </is>
      </c>
      <c r="B11" s="27" t="n"/>
      <c r="C11" s="27" t="n"/>
      <c r="E11" s="28" t="n"/>
    </row>
    <row r="12">
      <c r="A12" s="26" t="inlineStr">
        <is>
          <t>Purchase Cost %</t>
        </is>
      </c>
      <c r="B12" s="28" t="n"/>
      <c r="C12" s="28" t="n"/>
      <c r="E12" s="28" t="n"/>
    </row>
    <row r="13">
      <c r="A13" s="25" t="inlineStr">
        <is>
          <t>Labor</t>
        </is>
      </c>
    </row>
    <row r="14">
      <c r="A14" s="26" t="inlineStr">
        <is>
          <t>Estimated Labor Cost</t>
        </is>
      </c>
      <c r="B14" s="27" t="n"/>
      <c r="C14" s="27" t="n"/>
      <c r="E14" s="28" t="n"/>
    </row>
    <row r="15">
      <c r="A15" s="26" t="inlineStr">
        <is>
          <t>Labor Cost %</t>
        </is>
      </c>
      <c r="B15" s="28" t="n"/>
      <c r="C15" s="28" t="n"/>
      <c r="E15" s="28" t="n"/>
    </row>
    <row r="16">
      <c r="A16" s="25" t="inlineStr">
        <is>
          <t>Volume</t>
        </is>
      </c>
    </row>
    <row r="17">
      <c r="A17" s="26" t="inlineStr">
        <is>
          <t>Total Orders</t>
        </is>
      </c>
      <c r="E17" s="28" t="n"/>
    </row>
    <row r="18">
      <c r="A18" s="26" t="inlineStr">
        <is>
          <t>Avg Ticket Size</t>
        </is>
      </c>
      <c r="B18" s="27" t="n"/>
      <c r="C18" s="27" t="n"/>
      <c r="D18" s="27" t="n"/>
      <c r="E18" s="28" t="n"/>
    </row>
    <row r="20" ht="40" customHeight="1">
      <c r="A20" s="32" t="inlineStr">
        <is>
          <t>[MML] Formulas for This Week values will be added in Plan 02 — once CSV column names are validated with Rez's actual exports.</t>
        </is>
      </c>
    </row>
  </sheetData>
  <mergeCells count="6">
    <mergeCell ref="A4:E4"/>
    <mergeCell ref="A20:E20"/>
    <mergeCell ref="A16:E16"/>
    <mergeCell ref="A10:E10"/>
    <mergeCell ref="A1:F1"/>
    <mergeCell ref="A13:E13"/>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99999"/>
    <outlinePr summaryBelow="1" summaryRight="1"/>
    <pageSetUpPr/>
  </sheetPr>
  <dimension ref="A1:F20"/>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2" customWidth="1" min="5" max="5"/>
  </cols>
  <sheetData>
    <row r="1" ht="28" customHeight="1">
      <c r="A1" s="23" t="inlineStr">
        <is>
          <t>Moto Medi Amarillo</t>
        </is>
      </c>
    </row>
    <row r="2">
      <c r="A2" s="24" t="inlineStr">
        <is>
          <t>Week Ending:</t>
        </is>
      </c>
      <c r="B2" s="11" t="inlineStr"/>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t="n"/>
      <c r="C5" s="27" t="n"/>
      <c r="D5" s="27" t="n"/>
      <c r="E5" s="28" t="n"/>
    </row>
    <row r="6">
      <c r="A6" s="26" t="inlineStr">
        <is>
          <t>DoorDash Net Revenue</t>
        </is>
      </c>
      <c r="B6" s="27" t="n"/>
      <c r="C6" s="27" t="n"/>
      <c r="D6" s="27" t="n"/>
      <c r="E6" s="28" t="n"/>
    </row>
    <row r="7">
      <c r="A7" s="26" t="inlineStr">
        <is>
          <t>UberEats Net Revenue</t>
        </is>
      </c>
      <c r="B7" s="27" t="n"/>
      <c r="C7" s="27" t="n"/>
      <c r="D7" s="27" t="n"/>
      <c r="E7" s="28" t="n"/>
    </row>
    <row r="8">
      <c r="A8" s="26" t="inlineStr">
        <is>
          <t>Grubhub Net Revenue</t>
        </is>
      </c>
      <c r="B8" s="27" t="n"/>
      <c r="C8" s="27" t="n"/>
      <c r="D8" s="27" t="n"/>
      <c r="E8" s="28" t="n"/>
    </row>
    <row r="9">
      <c r="A9" s="29" t="inlineStr">
        <is>
          <t>Total Net Revenue</t>
        </is>
      </c>
      <c r="B9" s="30" t="n"/>
      <c r="C9" s="30" t="n"/>
      <c r="D9" s="30" t="n"/>
      <c r="E9" s="31" t="n"/>
    </row>
    <row r="10">
      <c r="A10" s="25" t="inlineStr">
        <is>
          <t>Cost Metrics</t>
        </is>
      </c>
    </row>
    <row r="11">
      <c r="A11" s="26" t="inlineStr">
        <is>
          <t>BEK Purchases</t>
        </is>
      </c>
      <c r="B11" s="27" t="n"/>
      <c r="C11" s="27" t="n"/>
      <c r="E11" s="28" t="n"/>
    </row>
    <row r="12">
      <c r="A12" s="26" t="inlineStr">
        <is>
          <t>Purchase Cost %</t>
        </is>
      </c>
      <c r="B12" s="28" t="n"/>
      <c r="C12" s="28" t="n"/>
      <c r="E12" s="28" t="n"/>
    </row>
    <row r="13">
      <c r="A13" s="25" t="inlineStr">
        <is>
          <t>Labor</t>
        </is>
      </c>
    </row>
    <row r="14">
      <c r="A14" s="26" t="inlineStr">
        <is>
          <t>Estimated Labor Cost</t>
        </is>
      </c>
      <c r="B14" s="27" t="n"/>
      <c r="C14" s="27" t="n"/>
      <c r="E14" s="28" t="n"/>
    </row>
    <row r="15">
      <c r="A15" s="26" t="inlineStr">
        <is>
          <t>Labor Cost %</t>
        </is>
      </c>
      <c r="B15" s="28" t="n"/>
      <c r="C15" s="28" t="n"/>
      <c r="E15" s="28" t="n"/>
    </row>
    <row r="16">
      <c r="A16" s="25" t="inlineStr">
        <is>
          <t>Volume</t>
        </is>
      </c>
    </row>
    <row r="17">
      <c r="A17" s="26" t="inlineStr">
        <is>
          <t>Total Orders</t>
        </is>
      </c>
      <c r="E17" s="28" t="n"/>
    </row>
    <row r="18">
      <c r="A18" s="26" t="inlineStr">
        <is>
          <t>Avg Ticket Size</t>
        </is>
      </c>
      <c r="B18" s="27" t="n"/>
      <c r="C18" s="27" t="n"/>
      <c r="D18" s="27" t="n"/>
      <c r="E18" s="28" t="n"/>
    </row>
    <row r="20" ht="40" customHeight="1">
      <c r="A20" s="32" t="inlineStr">
        <is>
          <t>[MMA] Formulas for This Week values will be added in Plan 02 — once CSV column names are validated with Rez's actual exports.</t>
        </is>
      </c>
    </row>
  </sheetData>
  <mergeCells count="6">
    <mergeCell ref="A4:E4"/>
    <mergeCell ref="A20:E20"/>
    <mergeCell ref="A16:E16"/>
    <mergeCell ref="A10:E10"/>
    <mergeCell ref="A1:F1"/>
    <mergeCell ref="A13:E13"/>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99999"/>
    <outlinePr summaryBelow="1" summaryRight="1"/>
    <pageSetUpPr/>
  </sheetPr>
  <dimension ref="A1:F20"/>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2" customWidth="1" min="5" max="5"/>
  </cols>
  <sheetData>
    <row r="1" ht="28" customHeight="1">
      <c r="A1" s="23" t="inlineStr">
        <is>
          <t>Moto Medi 3rd</t>
        </is>
      </c>
    </row>
    <row r="2">
      <c r="A2" s="24" t="inlineStr">
        <is>
          <t>Week Ending:</t>
        </is>
      </c>
      <c r="B2" s="11" t="inlineStr"/>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t="n"/>
      <c r="C5" s="27" t="n"/>
      <c r="D5" s="27" t="n"/>
      <c r="E5" s="28" t="n"/>
    </row>
    <row r="6">
      <c r="A6" s="26" t="inlineStr">
        <is>
          <t>DoorDash Net Revenue</t>
        </is>
      </c>
      <c r="B6" s="27" t="n"/>
      <c r="C6" s="27" t="n"/>
      <c r="D6" s="27" t="n"/>
      <c r="E6" s="28" t="n"/>
    </row>
    <row r="7">
      <c r="A7" s="26" t="inlineStr">
        <is>
          <t>UberEats Net Revenue</t>
        </is>
      </c>
      <c r="B7" s="27" t="n"/>
      <c r="C7" s="27" t="n"/>
      <c r="D7" s="27" t="n"/>
      <c r="E7" s="28" t="n"/>
    </row>
    <row r="8">
      <c r="A8" s="26" t="inlineStr">
        <is>
          <t>Grubhub Net Revenue</t>
        </is>
      </c>
      <c r="B8" s="27" t="n"/>
      <c r="C8" s="27" t="n"/>
      <c r="D8" s="27" t="n"/>
      <c r="E8" s="28" t="n"/>
    </row>
    <row r="9">
      <c r="A9" s="29" t="inlineStr">
        <is>
          <t>Total Net Revenue</t>
        </is>
      </c>
      <c r="B9" s="30" t="n"/>
      <c r="C9" s="30" t="n"/>
      <c r="D9" s="30" t="n"/>
      <c r="E9" s="31" t="n"/>
    </row>
    <row r="10">
      <c r="A10" s="25" t="inlineStr">
        <is>
          <t>Cost Metrics</t>
        </is>
      </c>
    </row>
    <row r="11">
      <c r="A11" s="26" t="inlineStr">
        <is>
          <t>BEK Purchases</t>
        </is>
      </c>
      <c r="B11" s="27" t="n"/>
      <c r="C11" s="27" t="n"/>
      <c r="E11" s="28" t="n"/>
    </row>
    <row r="12">
      <c r="A12" s="26" t="inlineStr">
        <is>
          <t>Purchase Cost %</t>
        </is>
      </c>
      <c r="B12" s="28" t="n"/>
      <c r="C12" s="28" t="n"/>
      <c r="E12" s="28" t="n"/>
    </row>
    <row r="13">
      <c r="A13" s="25" t="inlineStr">
        <is>
          <t>Labor</t>
        </is>
      </c>
    </row>
    <row r="14">
      <c r="A14" s="26" t="inlineStr">
        <is>
          <t>Estimated Labor Cost</t>
        </is>
      </c>
      <c r="B14" s="27" t="n"/>
      <c r="C14" s="27" t="n"/>
      <c r="E14" s="28" t="n"/>
    </row>
    <row r="15">
      <c r="A15" s="26" t="inlineStr">
        <is>
          <t>Labor Cost %</t>
        </is>
      </c>
      <c r="B15" s="28" t="n"/>
      <c r="C15" s="28" t="n"/>
      <c r="E15" s="28" t="n"/>
    </row>
    <row r="16">
      <c r="A16" s="25" t="inlineStr">
        <is>
          <t>Volume</t>
        </is>
      </c>
    </row>
    <row r="17">
      <c r="A17" s="26" t="inlineStr">
        <is>
          <t>Total Orders</t>
        </is>
      </c>
      <c r="E17" s="28" t="n"/>
    </row>
    <row r="18">
      <c r="A18" s="26" t="inlineStr">
        <is>
          <t>Avg Ticket Size</t>
        </is>
      </c>
      <c r="B18" s="27" t="n"/>
      <c r="C18" s="27" t="n"/>
      <c r="D18" s="27" t="n"/>
      <c r="E18" s="28" t="n"/>
    </row>
    <row r="20" ht="40" customHeight="1">
      <c r="A20" s="32" t="inlineStr">
        <is>
          <t>[MM3] Formulas for This Week values will be added in Plan 02 — once CSV column names are validated with Rez's actual exports.</t>
        </is>
      </c>
    </row>
  </sheetData>
  <mergeCells count="6">
    <mergeCell ref="A4:E4"/>
    <mergeCell ref="A20:E20"/>
    <mergeCell ref="A16:E16"/>
    <mergeCell ref="A10:E10"/>
    <mergeCell ref="A1:F1"/>
    <mergeCell ref="A13:E1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999999"/>
    <outlinePr summaryBelow="1" summaryRight="1"/>
    <pageSetUpPr/>
  </sheetPr>
  <dimension ref="A1:F20"/>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2" customWidth="1" min="5" max="5"/>
  </cols>
  <sheetData>
    <row r="1" ht="28" customHeight="1">
      <c r="A1" s="23" t="inlineStr">
        <is>
          <t>Tikka Shack 1</t>
        </is>
      </c>
    </row>
    <row r="2">
      <c r="A2" s="24" t="inlineStr">
        <is>
          <t>Week Ending:</t>
        </is>
      </c>
      <c r="B2" s="11" t="inlineStr"/>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t="n"/>
      <c r="C5" s="27" t="n"/>
      <c r="D5" s="27" t="n"/>
      <c r="E5" s="28" t="n"/>
    </row>
    <row r="6">
      <c r="A6" s="26" t="inlineStr">
        <is>
          <t>DoorDash Net Revenue</t>
        </is>
      </c>
      <c r="B6" s="27" t="n"/>
      <c r="C6" s="27" t="n"/>
      <c r="D6" s="27" t="n"/>
      <c r="E6" s="28" t="n"/>
    </row>
    <row r="7">
      <c r="A7" s="26" t="inlineStr">
        <is>
          <t>UberEats Net Revenue</t>
        </is>
      </c>
      <c r="B7" s="27" t="n"/>
      <c r="C7" s="27" t="n"/>
      <c r="D7" s="27" t="n"/>
      <c r="E7" s="28" t="n"/>
    </row>
    <row r="8">
      <c r="A8" s="26" t="inlineStr">
        <is>
          <t>Grubhub Net Revenue</t>
        </is>
      </c>
      <c r="B8" s="27" t="n"/>
      <c r="C8" s="27" t="n"/>
      <c r="D8" s="27" t="n"/>
      <c r="E8" s="28" t="n"/>
    </row>
    <row r="9">
      <c r="A9" s="29" t="inlineStr">
        <is>
          <t>Total Net Revenue</t>
        </is>
      </c>
      <c r="B9" s="30" t="n"/>
      <c r="C9" s="30" t="n"/>
      <c r="D9" s="30" t="n"/>
      <c r="E9" s="31" t="n"/>
    </row>
    <row r="10">
      <c r="A10" s="25" t="inlineStr">
        <is>
          <t>Cost Metrics</t>
        </is>
      </c>
    </row>
    <row r="11">
      <c r="A11" s="26" t="inlineStr">
        <is>
          <t>BEK Purchases</t>
        </is>
      </c>
      <c r="B11" s="27" t="n"/>
      <c r="C11" s="27" t="n"/>
      <c r="E11" s="28" t="n"/>
    </row>
    <row r="12">
      <c r="A12" s="26" t="inlineStr">
        <is>
          <t>Purchase Cost %</t>
        </is>
      </c>
      <c r="B12" s="28" t="n"/>
      <c r="C12" s="28" t="n"/>
      <c r="E12" s="28" t="n"/>
    </row>
    <row r="13">
      <c r="A13" s="25" t="inlineStr">
        <is>
          <t>Labor</t>
        </is>
      </c>
    </row>
    <row r="14">
      <c r="A14" s="26" t="inlineStr">
        <is>
          <t>Estimated Labor Cost</t>
        </is>
      </c>
      <c r="B14" s="27" t="n"/>
      <c r="C14" s="27" t="n"/>
      <c r="E14" s="28" t="n"/>
    </row>
    <row r="15">
      <c r="A15" s="26" t="inlineStr">
        <is>
          <t>Labor Cost %</t>
        </is>
      </c>
      <c r="B15" s="28" t="n"/>
      <c r="C15" s="28" t="n"/>
      <c r="E15" s="28" t="n"/>
    </row>
    <row r="16">
      <c r="A16" s="25" t="inlineStr">
        <is>
          <t>Volume</t>
        </is>
      </c>
    </row>
    <row r="17">
      <c r="A17" s="26" t="inlineStr">
        <is>
          <t>Total Orders</t>
        </is>
      </c>
      <c r="E17" s="28" t="n"/>
    </row>
    <row r="18">
      <c r="A18" s="26" t="inlineStr">
        <is>
          <t>Avg Ticket Size</t>
        </is>
      </c>
      <c r="B18" s="27" t="n"/>
      <c r="C18" s="27" t="n"/>
      <c r="D18" s="27" t="n"/>
      <c r="E18" s="28" t="n"/>
    </row>
    <row r="20" ht="40" customHeight="1">
      <c r="A20" s="32" t="inlineStr">
        <is>
          <t>[TS1] Formulas for This Week values will be added in Plan 02 — once CSV column names are validated with Rez's actual exports.</t>
        </is>
      </c>
    </row>
  </sheetData>
  <mergeCells count="6">
    <mergeCell ref="A4:E4"/>
    <mergeCell ref="A20:E20"/>
    <mergeCell ref="A16:E16"/>
    <mergeCell ref="A10:E10"/>
    <mergeCell ref="A1:F1"/>
    <mergeCell ref="A13:E13"/>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99999"/>
    <outlinePr summaryBelow="1" summaryRight="1"/>
    <pageSetUpPr/>
  </sheetPr>
  <dimension ref="A1:F20"/>
  <sheetViews>
    <sheetView workbookViewId="0">
      <selection activeCell="A1" sqref="A1"/>
    </sheetView>
  </sheetViews>
  <sheetFormatPr baseColWidth="8" defaultRowHeight="15"/>
  <cols>
    <col width="24" customWidth="1" min="1" max="1"/>
    <col width="16" customWidth="1" min="2" max="2"/>
    <col width="16" customWidth="1" min="3" max="3"/>
    <col width="16" customWidth="1" min="4" max="4"/>
    <col width="12" customWidth="1" min="5" max="5"/>
  </cols>
  <sheetData>
    <row r="1" ht="28" customHeight="1">
      <c r="A1" s="23" t="inlineStr">
        <is>
          <t>Tikka Shack 2</t>
        </is>
      </c>
    </row>
    <row r="2">
      <c r="A2" s="24" t="inlineStr">
        <is>
          <t>Week Ending:</t>
        </is>
      </c>
      <c r="B2" s="11" t="inlineStr"/>
    </row>
    <row r="3">
      <c r="B3" s="12" t="inlineStr">
        <is>
          <t>This Week</t>
        </is>
      </c>
      <c r="C3" s="12" t="inlineStr">
        <is>
          <t>Prior Week</t>
        </is>
      </c>
      <c r="D3" s="12" t="inlineStr">
        <is>
          <t>WoW Change</t>
        </is>
      </c>
      <c r="E3" s="12" t="inlineStr">
        <is>
          <t>WoW %</t>
        </is>
      </c>
    </row>
    <row r="4">
      <c r="A4" s="25" t="inlineStr">
        <is>
          <t>Revenue Breakdown</t>
        </is>
      </c>
    </row>
    <row r="5">
      <c r="A5" s="26" t="inlineStr">
        <is>
          <t>Square Net Sales</t>
        </is>
      </c>
      <c r="B5" s="27" t="n"/>
      <c r="C5" s="27" t="n"/>
      <c r="D5" s="27" t="n"/>
      <c r="E5" s="28" t="n"/>
    </row>
    <row r="6">
      <c r="A6" s="26" t="inlineStr">
        <is>
          <t>DoorDash Net Revenue</t>
        </is>
      </c>
      <c r="B6" s="27" t="n"/>
      <c r="C6" s="27" t="n"/>
      <c r="D6" s="27" t="n"/>
      <c r="E6" s="28" t="n"/>
    </row>
    <row r="7">
      <c r="A7" s="26" t="inlineStr">
        <is>
          <t>UberEats Net Revenue</t>
        </is>
      </c>
      <c r="B7" s="27" t="n"/>
      <c r="C7" s="27" t="n"/>
      <c r="D7" s="27" t="n"/>
      <c r="E7" s="28" t="n"/>
    </row>
    <row r="8">
      <c r="A8" s="26" t="inlineStr">
        <is>
          <t>Grubhub Net Revenue</t>
        </is>
      </c>
      <c r="B8" s="27" t="n"/>
      <c r="C8" s="27" t="n"/>
      <c r="D8" s="27" t="n"/>
      <c r="E8" s="28" t="n"/>
    </row>
    <row r="9">
      <c r="A9" s="29" t="inlineStr">
        <is>
          <t>Total Net Revenue</t>
        </is>
      </c>
      <c r="B9" s="30" t="n"/>
      <c r="C9" s="30" t="n"/>
      <c r="D9" s="30" t="n"/>
      <c r="E9" s="31" t="n"/>
    </row>
    <row r="10">
      <c r="A10" s="25" t="inlineStr">
        <is>
          <t>Cost Metrics</t>
        </is>
      </c>
    </row>
    <row r="11">
      <c r="A11" s="26" t="inlineStr">
        <is>
          <t>BEK Purchases</t>
        </is>
      </c>
      <c r="B11" s="27" t="n"/>
      <c r="C11" s="27" t="n"/>
      <c r="E11" s="28" t="n"/>
    </row>
    <row r="12">
      <c r="A12" s="26" t="inlineStr">
        <is>
          <t>Purchase Cost %</t>
        </is>
      </c>
      <c r="B12" s="28" t="n"/>
      <c r="C12" s="28" t="n"/>
      <c r="E12" s="28" t="n"/>
    </row>
    <row r="13">
      <c r="A13" s="25" t="inlineStr">
        <is>
          <t>Labor</t>
        </is>
      </c>
    </row>
    <row r="14">
      <c r="A14" s="26" t="inlineStr">
        <is>
          <t>Estimated Labor Cost</t>
        </is>
      </c>
      <c r="B14" s="27" t="n"/>
      <c r="C14" s="27" t="n"/>
      <c r="E14" s="28" t="n"/>
    </row>
    <row r="15">
      <c r="A15" s="26" t="inlineStr">
        <is>
          <t>Labor Cost %</t>
        </is>
      </c>
      <c r="B15" s="28" t="n"/>
      <c r="C15" s="28" t="n"/>
      <c r="E15" s="28" t="n"/>
    </row>
    <row r="16">
      <c r="A16" s="25" t="inlineStr">
        <is>
          <t>Volume</t>
        </is>
      </c>
    </row>
    <row r="17">
      <c r="A17" s="26" t="inlineStr">
        <is>
          <t>Total Orders</t>
        </is>
      </c>
      <c r="E17" s="28" t="n"/>
    </row>
    <row r="18">
      <c r="A18" s="26" t="inlineStr">
        <is>
          <t>Avg Ticket Size</t>
        </is>
      </c>
      <c r="B18" s="27" t="n"/>
      <c r="C18" s="27" t="n"/>
      <c r="D18" s="27" t="n"/>
      <c r="E18" s="28" t="n"/>
    </row>
    <row r="20" ht="40" customHeight="1">
      <c r="A20" s="32" t="inlineStr">
        <is>
          <t>[TS2] Formulas for This Week values will be added in Plan 02 — once CSV column names are validated with Rez's actual exports.</t>
        </is>
      </c>
    </row>
  </sheetData>
  <mergeCells count="6">
    <mergeCell ref="A4:E4"/>
    <mergeCell ref="A20:E20"/>
    <mergeCell ref="A16:E16"/>
    <mergeCell ref="A10:E10"/>
    <mergeCell ref="A1:F1"/>
    <mergeCell ref="A13:E13"/>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F4A442"/>
    <outlinePr summaryBelow="1" summaryRight="1"/>
    <pageSetUpPr/>
  </sheetPr>
  <dimension ref="A1:F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s>
  <sheetData>
    <row r="1" ht="36" customHeight="1">
      <c r="A1" s="33" t="inlineStr">
        <is>
          <t>Weekly Report Summary</t>
        </is>
      </c>
    </row>
    <row r="2" ht="20" customHeight="1">
      <c r="A2" s="10" t="inlineStr">
        <is>
          <t>Week Ending:</t>
        </is>
      </c>
      <c r="B2" s="11" t="inlineStr"/>
    </row>
    <row r="3" ht="8" customHeight="1"/>
    <row r="4" ht="28" customHeight="1">
      <c r="A4" s="34" t="inlineStr"/>
      <c r="B4" s="34" t="inlineStr">
        <is>
          <t>Moto Medi Lubbock</t>
        </is>
      </c>
      <c r="C4" s="34" t="inlineStr">
        <is>
          <t>Moto Medi Amarillo</t>
        </is>
      </c>
      <c r="D4" s="34" t="inlineStr">
        <is>
          <t>Moto Medi 3rd</t>
        </is>
      </c>
      <c r="E4" s="34" t="inlineStr">
        <is>
          <t>Tikka Shack 1</t>
        </is>
      </c>
      <c r="F4" s="34" t="inlineStr">
        <is>
          <t>Tikka Shack 2</t>
        </is>
      </c>
    </row>
    <row r="5" ht="20" customHeight="1">
      <c r="A5" s="35" t="inlineStr">
        <is>
          <t>Net Revenue</t>
        </is>
      </c>
      <c r="B5" s="36" t="n"/>
      <c r="C5" s="36" t="n"/>
      <c r="D5" s="36" t="n"/>
      <c r="E5" s="37" t="n"/>
      <c r="F5" s="37" t="n"/>
    </row>
    <row r="6" ht="20" customHeight="1">
      <c r="A6" s="38" t="inlineStr">
        <is>
          <t xml:space="preserve">  WoW</t>
        </is>
      </c>
      <c r="B6" s="36" t="n"/>
      <c r="C6" s="36" t="n"/>
      <c r="D6" s="36" t="n"/>
      <c r="E6" s="37" t="n"/>
      <c r="F6" s="37" t="n"/>
    </row>
    <row r="7" ht="20" customHeight="1">
      <c r="A7" s="35" t="inlineStr">
        <is>
          <t>Purchase Cost %</t>
        </is>
      </c>
      <c r="B7" s="36" t="n"/>
      <c r="C7" s="36" t="n"/>
      <c r="D7" s="36" t="n"/>
      <c r="E7" s="37" t="n"/>
      <c r="F7" s="37" t="n"/>
    </row>
    <row r="8" ht="20" customHeight="1">
      <c r="A8" s="38" t="inlineStr">
        <is>
          <t xml:space="preserve">  WoW</t>
        </is>
      </c>
      <c r="B8" s="36" t="n"/>
      <c r="C8" s="36" t="n"/>
      <c r="D8" s="36" t="n"/>
      <c r="E8" s="37" t="n"/>
      <c r="F8" s="37" t="n"/>
    </row>
    <row r="9" ht="20" customHeight="1">
      <c r="A9" s="35" t="inlineStr">
        <is>
          <t>Labor Cost %</t>
        </is>
      </c>
      <c r="B9" s="36" t="n"/>
      <c r="C9" s="36" t="n"/>
      <c r="D9" s="36" t="n"/>
      <c r="E9" s="37" t="n"/>
      <c r="F9" s="37" t="n"/>
    </row>
    <row r="10" ht="20" customHeight="1">
      <c r="A10" s="38" t="inlineStr">
        <is>
          <t xml:space="preserve">  WoW</t>
        </is>
      </c>
      <c r="B10" s="36" t="n"/>
      <c r="C10" s="36" t="n"/>
      <c r="D10" s="36" t="n"/>
      <c r="E10" s="37" t="n"/>
      <c r="F10" s="37" t="n"/>
    </row>
    <row r="11" ht="20" customHeight="1">
      <c r="A11" s="35" t="inlineStr">
        <is>
          <t>Order Volume</t>
        </is>
      </c>
      <c r="B11" s="36" t="n"/>
      <c r="C11" s="36" t="n"/>
      <c r="D11" s="36" t="n"/>
      <c r="E11" s="37" t="n"/>
      <c r="F11" s="37" t="n"/>
    </row>
    <row r="12" ht="20" customHeight="1">
      <c r="A12" s="38" t="inlineStr">
        <is>
          <t xml:space="preserve">  WoW</t>
        </is>
      </c>
      <c r="B12" s="36" t="n"/>
      <c r="C12" s="36" t="n"/>
      <c r="D12" s="36" t="n"/>
      <c r="E12" s="37" t="n"/>
      <c r="F12" s="37" t="n"/>
    </row>
    <row r="13" ht="20" customHeight="1">
      <c r="A13" s="35" t="inlineStr">
        <is>
          <t>Avg Ticket</t>
        </is>
      </c>
      <c r="B13" s="36" t="n"/>
      <c r="C13" s="36" t="n"/>
      <c r="D13" s="36" t="n"/>
      <c r="E13" s="37" t="n"/>
      <c r="F13" s="37" t="n"/>
    </row>
    <row r="14" ht="20" customHeight="1">
      <c r="A14" s="38" t="inlineStr">
        <is>
          <t xml:space="preserve">  WoW</t>
        </is>
      </c>
      <c r="B14" s="36" t="n"/>
      <c r="C14" s="36" t="n"/>
      <c r="D14" s="36" t="n"/>
      <c r="E14" s="37" t="n"/>
      <c r="F14" s="37" t="n"/>
    </row>
    <row r="16" ht="50" customHeight="1">
      <c r="A16" s="32" t="inlineStr">
        <is>
          <t>Formulas for all KPI cells will be added in Plan 02, after CSV column names are confirmed with Rez's real exports. Brand color bands: columns B-D = Moto Medi (orange), columns E-F = Tikka Shack (teal).</t>
        </is>
      </c>
    </row>
  </sheetData>
  <mergeCells count="2">
    <mergeCell ref="A16:F16"/>
    <mergeCell ref="A1:F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2026-03-14T17:44:28Z</dcterms:created>
  <dcterms:modified xmlns:dcterms="http://purl.org/dc/terms/" xmlns:xsi="http://www.w3.org/2001/XMLSchema-instance" xsi:type="dcterms:W3CDTF">2026-03-14T17:44:28Z</dcterms:modified>
</cp:coreProperties>
</file>