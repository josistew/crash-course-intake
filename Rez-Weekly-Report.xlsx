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quare-Import" sheetId="2" state="visible" r:id="rId2"/>
    <sheet xmlns:r="http://schemas.openxmlformats.org/officeDocument/2006/relationships" name="DoorDash-Import" sheetId="3" state="visible" r:id="rId3"/>
    <sheet xmlns:r="http://schemas.openxmlformats.org/officeDocument/2006/relationships" name="UberEats-Import" sheetId="4" state="visible" r:id="rId4"/>
    <sheet xmlns:r="http://schemas.openxmlformats.org/officeDocument/2006/relationships" name="Grubhub-Import" sheetId="5" state="visible" r:id="rId5"/>
    <sheet xmlns:r="http://schemas.openxmlformats.org/officeDocument/2006/relationships" name="BEK-Import" sheetId="6" state="visible" r:id="rId6"/>
    <sheet xmlns:r="http://schemas.openxmlformats.org/officeDocument/2006/relationships" name="Employee-Roster" sheetId="7" state="visible" r:id="rId7"/>
    <sheet xmlns:r="http://schemas.openxmlformats.org/officeDocument/2006/relationships" name="Prior-Week" sheetId="8" state="visible" r:id="rId8"/>
    <sheet xmlns:r="http://schemas.openxmlformats.org/officeDocument/2006/relationships" name="MML-Calc" sheetId="9" state="visible" r:id="rId9"/>
    <sheet xmlns:r="http://schemas.openxmlformats.org/officeDocument/2006/relationships" name="MMA-Calc" sheetId="10" state="visible" r:id="rId10"/>
    <sheet xmlns:r="http://schemas.openxmlformats.org/officeDocument/2006/relationships" name="MM3-Calc" sheetId="11" state="visible" r:id="rId11"/>
    <sheet xmlns:r="http://schemas.openxmlformats.org/officeDocument/2006/relationships" name="TS1-Calc" sheetId="12" state="visible" r:id="rId12"/>
    <sheet xmlns:r="http://schemas.openxmlformats.org/officeDocument/2006/relationships" name="TS2-Calc" sheetId="13" state="visible" r:id="rId13"/>
    <sheet xmlns:r="http://schemas.openxmlformats.org/officeDocument/2006/relationships" name="Summary" sheetId="14" state="visible" r:id="rId14"/>
  </sheets>
  <definedNames>
    <definedName name="_xlnm.Print_Area" localSheetId="13">'Summary'!$A$1:$F$20</definedName>
  </definedNames>
  <calcPr calcId="124519" fullCalcOnLoad="1"/>
</workbook>
</file>

<file path=xl/styles.xml><?xml version="1.0" encoding="utf-8"?>
<styleSheet xmlns="http://schemas.openxmlformats.org/spreadsheetml/2006/main">
  <numFmts count="5">
    <numFmt numFmtId="164" formatCode="YYYY-MM-DD"/>
    <numFmt numFmtId="165" formatCode="&quot;$&quot;#,##0.00"/>
    <numFmt numFmtId="166" formatCode="0.0%"/>
    <numFmt numFmtId="167" formatCode="&quot;$&quot;#,##0"/>
    <numFmt numFmtId="168" formatCode="+0.0%;-0.0%"/>
  </numFmts>
  <fonts count="17">
    <font>
      <name val="Calibri"/>
      <family val="2"/>
      <color theme="1"/>
      <sz val="11"/>
      <scheme val="minor"/>
    </font>
    <font>
      <name val="Calibri"/>
      <b val="1"/>
      <color rgb="00FFFFFF"/>
      <sz val="16"/>
    </font>
    <font>
      <name val="Calibri"/>
      <sz val="11"/>
    </font>
    <font>
      <name val="Calibri"/>
      <b val="1"/>
      <color rgb="002F5496"/>
      <sz val="12"/>
    </font>
    <font>
      <name val="Calibri"/>
      <b val="1"/>
      <color rgb="007F4F00"/>
      <sz val="10"/>
    </font>
    <font>
      <name val="Calibri"/>
      <b val="1"/>
      <color rgb="00FFFFFF"/>
      <sz val="11"/>
    </font>
    <font>
      <name val="Calibri"/>
      <i val="1"/>
      <color rgb="00888888"/>
      <sz val="9"/>
    </font>
    <font>
      <name val="Calibri"/>
      <color rgb="00CC0000"/>
      <sz val="10"/>
    </font>
    <font>
      <name val="Calibri"/>
      <b val="1"/>
      <sz val="11"/>
    </font>
    <font>
      <name val="Calibri"/>
      <i val="1"/>
      <color rgb="00666666"/>
      <sz val="10"/>
    </font>
    <font>
      <name val="Calibri"/>
      <i val="1"/>
      <color rgb="00AAAAAA"/>
      <sz val="11"/>
    </font>
    <font>
      <name val="Calibri"/>
      <b val="1"/>
      <color rgb="00FFFFFF"/>
      <sz val="14"/>
    </font>
    <font>
      <name val="Calibri"/>
      <i val="1"/>
      <color rgb="00AAAAAA"/>
      <sz val="10"/>
    </font>
    <font>
      <name val="Calibri"/>
      <b val="1"/>
      <color rgb="001C3557"/>
      <sz val="18"/>
    </font>
    <font>
      <name val="Calibri"/>
      <i val="1"/>
      <color rgb="00666666"/>
      <sz val="9"/>
    </font>
    <font>
      <name val="Calibri"/>
      <sz val="9"/>
    </font>
    <font>
      <name val="Calibri"/>
      <i val="1"/>
      <color rgb="00444444"/>
      <sz val="10"/>
    </font>
  </fonts>
  <fills count="14">
    <fill>
      <patternFill/>
    </fill>
    <fill>
      <patternFill patternType="gray125"/>
    </fill>
    <fill>
      <patternFill patternType="solid">
        <fgColor rgb="002F5496"/>
      </patternFill>
    </fill>
    <fill>
      <patternFill patternType="solid">
        <fgColor rgb="00FFFFFF"/>
      </patternFill>
    </fill>
    <fill>
      <patternFill patternType="solid">
        <fgColor rgb="00E8F0FE"/>
      </patternFill>
    </fill>
    <fill>
      <patternFill patternType="solid">
        <fgColor rgb="00FFF2CC"/>
      </patternFill>
    </fill>
    <fill>
      <patternFill patternType="solid">
        <fgColor rgb="004472C4"/>
      </patternFill>
    </fill>
    <fill>
      <patternFill patternType="solid">
        <fgColor rgb="00F3F3F3"/>
      </patternFill>
    </fill>
    <fill>
      <patternFill patternType="solid">
        <fgColor rgb="00FBE4E4"/>
      </patternFill>
    </fill>
    <fill>
      <patternFill patternType="solid">
        <fgColor rgb="00F2F2F2"/>
      </patternFill>
    </fill>
    <fill>
      <patternFill patternType="solid">
        <fgColor rgb="00FFF9C4"/>
      </patternFill>
    </fill>
    <fill>
      <patternFill patternType="solid">
        <fgColor rgb="00434343"/>
      </patternFill>
    </fill>
    <fill>
      <patternFill patternType="solid">
        <fgColor rgb="00FDE9D9"/>
      </patternFill>
    </fill>
    <fill>
      <patternFill patternType="solid">
        <fgColor rgb="00D0E2F1"/>
      </patternFill>
    </fill>
  </fills>
  <borders count="2">
    <border>
      <left/>
      <right/>
      <top/>
      <bottom/>
      <diagonal/>
    </border>
    <border>
      <bottom style="thin">
        <color rgb="00CCCCCC"/>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4" borderId="0" applyAlignment="1" pivotButton="0" quotePrefix="0" xfId="0">
      <alignment horizontal="left" vertical="top" wrapText="1"/>
    </xf>
    <xf numFmtId="0" fontId="4" fillId="5" borderId="0" applyAlignment="1" pivotButton="0" quotePrefix="0" xfId="0">
      <alignment horizontal="center" vertical="center" wrapText="1"/>
    </xf>
    <xf numFmtId="0" fontId="5" fillId="6" borderId="0" applyAlignment="1" pivotButton="0" quotePrefix="0" xfId="0">
      <alignment horizontal="center" vertical="center" wrapText="1"/>
    </xf>
    <xf numFmtId="0" fontId="6" fillId="7" borderId="0" applyAlignment="1" pivotButton="0" quotePrefix="0" xfId="0">
      <alignment horizontal="center" vertical="center" wrapText="1"/>
    </xf>
    <xf numFmtId="0" fontId="7" fillId="8" borderId="0" applyAlignment="1" pivotButton="0" quotePrefix="0" xfId="0">
      <alignment horizontal="center" vertical="center" wrapText="1"/>
    </xf>
    <xf numFmtId="0" fontId="2" fillId="9" borderId="0" applyAlignment="1" pivotButton="0" quotePrefix="0" xfId="0">
      <alignment horizontal="left" vertical="center" wrapText="1"/>
    </xf>
    <xf numFmtId="0" fontId="2" fillId="3" borderId="0" applyAlignment="1" pivotButton="0" quotePrefix="0" xfId="0">
      <alignment horizontal="left" vertical="center" wrapText="1"/>
    </xf>
    <xf numFmtId="0" fontId="8" fillId="0" borderId="0" pivotButton="0" quotePrefix="0" xfId="0"/>
    <xf numFmtId="164" fontId="0" fillId="10" borderId="0" pivotButton="0" quotePrefix="0" xfId="0"/>
    <xf numFmtId="0" fontId="5" fillId="2" borderId="0" applyAlignment="1" pivotButton="0" quotePrefix="0" xfId="0">
      <alignment horizontal="center" vertical="center" wrapText="1"/>
    </xf>
    <xf numFmtId="165" fontId="2" fillId="9" borderId="0" applyAlignment="1" pivotButton="0" quotePrefix="0" xfId="0">
      <alignment horizontal="left" vertical="center" wrapText="1"/>
    </xf>
    <xf numFmtId="164" fontId="2" fillId="9" borderId="0" applyAlignment="1" pivotButton="0" quotePrefix="0" xfId="0">
      <alignment horizontal="left" vertical="center" wrapText="1"/>
    </xf>
    <xf numFmtId="165" fontId="2" fillId="3" borderId="0" applyAlignment="1" pivotButton="0" quotePrefix="0" xfId="0">
      <alignment horizontal="left" vertical="center" wrapText="1"/>
    </xf>
    <xf numFmtId="164" fontId="2" fillId="3" borderId="0" applyAlignment="1" pivotButton="0" quotePrefix="0" xfId="0">
      <alignment horizontal="left" vertical="center" wrapText="1"/>
    </xf>
    <xf numFmtId="0" fontId="9" fillId="0" borderId="0" applyAlignment="1" pivotButton="0" quotePrefix="0" xfId="0">
      <alignment horizontal="left" wrapText="1"/>
    </xf>
    <xf numFmtId="164" fontId="2" fillId="9" borderId="0" applyAlignment="1" pivotButton="0" quotePrefix="0" xfId="0">
      <alignment horizontal="center" vertical="center" wrapText="1"/>
    </xf>
    <xf numFmtId="165" fontId="2" fillId="9" borderId="0" applyAlignment="1" pivotButton="0" quotePrefix="0" xfId="0">
      <alignment horizontal="center" vertical="center" wrapText="1"/>
    </xf>
    <xf numFmtId="166" fontId="2" fillId="9" borderId="0" applyAlignment="1" pivotButton="0" quotePrefix="0" xfId="0">
      <alignment horizontal="center" vertical="center" wrapText="1"/>
    </xf>
    <xf numFmtId="0" fontId="2" fillId="9" borderId="0" applyAlignment="1" pivotButton="0" quotePrefix="0" xfId="0">
      <alignment horizontal="center" vertical="center" wrapText="1"/>
    </xf>
    <xf numFmtId="164" fontId="10" fillId="3" borderId="0" pivotButton="0" quotePrefix="0" xfId="0"/>
    <xf numFmtId="0" fontId="11" fillId="2" borderId="0" applyAlignment="1" pivotButton="0" quotePrefix="0" xfId="0">
      <alignment horizontal="center" vertical="center" wrapText="1"/>
    </xf>
    <xf numFmtId="0" fontId="8" fillId="0" borderId="0" applyAlignment="1" pivotButton="0" quotePrefix="0" xfId="0">
      <alignment horizontal="left" vertical="center" wrapText="1"/>
    </xf>
    <xf numFmtId="0" fontId="3" fillId="4" borderId="0" pivotButton="0" quotePrefix="0" xfId="0"/>
    <xf numFmtId="0" fontId="2" fillId="0" borderId="0" applyAlignment="1" pivotButton="0" quotePrefix="0" xfId="0">
      <alignment horizontal="left" vertical="center" wrapText="1"/>
    </xf>
    <xf numFmtId="167" fontId="0" fillId="0" borderId="0" pivotButton="0" quotePrefix="0" xfId="0"/>
    <xf numFmtId="166" fontId="0" fillId="0" borderId="0" pivotButton="0" quotePrefix="0" xfId="0"/>
    <xf numFmtId="0" fontId="8" fillId="4" borderId="0" applyAlignment="1" pivotButton="0" quotePrefix="0" xfId="0">
      <alignment horizontal="left" vertical="center" wrapText="1"/>
    </xf>
    <xf numFmtId="167" fontId="0" fillId="4" borderId="0" pivotButton="0" quotePrefix="0" xfId="0"/>
    <xf numFmtId="166" fontId="0" fillId="4" borderId="0" pivotButton="0" quotePrefix="0" xfId="0"/>
    <xf numFmtId="167" fontId="0" fillId="10" borderId="0" pivotButton="0" quotePrefix="0" xfId="0"/>
    <xf numFmtId="3" fontId="0" fillId="0" borderId="0" pivotButton="0" quotePrefix="0" xfId="0"/>
    <xf numFmtId="165" fontId="0" fillId="0" borderId="0" pivotButton="0" quotePrefix="0" xfId="0"/>
    <xf numFmtId="0" fontId="12" fillId="0" borderId="0" applyAlignment="1" pivotButton="0" quotePrefix="0" xfId="0">
      <alignment horizontal="left" wrapText="1"/>
    </xf>
    <xf numFmtId="0" fontId="13" fillId="5" borderId="0" applyAlignment="1" pivotButton="0" quotePrefix="0" xfId="0">
      <alignment horizontal="center" vertical="center" wrapText="1"/>
    </xf>
    <xf numFmtId="0" fontId="5" fillId="11" borderId="0" applyAlignment="1" pivotButton="0" quotePrefix="0" xfId="0">
      <alignment horizontal="center" vertical="center" wrapText="1"/>
    </xf>
    <xf numFmtId="167" fontId="0" fillId="12" borderId="0" applyAlignment="1" pivotButton="0" quotePrefix="0" xfId="0">
      <alignment horizontal="center" vertical="center" wrapText="1"/>
    </xf>
    <xf numFmtId="167" fontId="0" fillId="13" borderId="0" applyAlignment="1" pivotButton="0" quotePrefix="0" xfId="0">
      <alignment horizontal="center" vertical="center" wrapText="1"/>
    </xf>
    <xf numFmtId="0" fontId="14" fillId="0" borderId="1" applyAlignment="1" pivotButton="0" quotePrefix="0" xfId="0">
      <alignment horizontal="left" vertical="center" wrapText="1"/>
    </xf>
    <xf numFmtId="168" fontId="15" fillId="12" borderId="1" applyAlignment="1" pivotButton="0" quotePrefix="0" xfId="0">
      <alignment horizontal="center" vertical="center" wrapText="1"/>
    </xf>
    <xf numFmtId="168" fontId="15" fillId="13" borderId="1" applyAlignment="1" pivotButton="0" quotePrefix="0" xfId="0">
      <alignment horizontal="center" vertical="center" wrapText="1"/>
    </xf>
    <xf numFmtId="166" fontId="0" fillId="12" borderId="0" applyAlignment="1" pivotButton="0" quotePrefix="0" xfId="0">
      <alignment horizontal="center" vertical="center" wrapText="1"/>
    </xf>
    <xf numFmtId="166" fontId="0" fillId="13" borderId="0" applyAlignment="1" pivotButton="0" quotePrefix="0" xfId="0">
      <alignment horizontal="center" vertical="center" wrapText="1"/>
    </xf>
    <xf numFmtId="3" fontId="0" fillId="12" borderId="0" applyAlignment="1" pivotButton="0" quotePrefix="0" xfId="0">
      <alignment horizontal="center" vertical="center" wrapText="1"/>
    </xf>
    <xf numFmtId="3" fontId="0" fillId="13" borderId="0" applyAlignment="1" pivotButton="0" quotePrefix="0" xfId="0">
      <alignment horizontal="center" vertical="center" wrapText="1"/>
    </xf>
    <xf numFmtId="165" fontId="0" fillId="12" borderId="0" applyAlignment="1" pivotButton="0" quotePrefix="0" xfId="0">
      <alignment horizontal="center" vertical="center" wrapText="1"/>
    </xf>
    <xf numFmtId="165" fontId="0" fillId="13" borderId="0" applyAlignment="1" pivotButton="0" quotePrefix="0" xfId="0">
      <alignment horizontal="center" vertical="center" wrapText="1"/>
    </xf>
    <xf numFmtId="0" fontId="16" fillId="0" borderId="0" applyAlignment="1" pivotButton="0" quotePrefix="0" xfId="0">
      <alignment horizontal="left" vertical="top" wrapText="1"/>
    </xf>
  </cellXfs>
  <cellStyles count="1">
    <cellStyle name="Normal" xfId="0" builtinId="0" hidden="0"/>
  </cellStyles>
  <dxfs count="5">
    <dxf>
      <font>
        <name val="Calibri"/>
        <b val="1"/>
        <color rgb="00006100"/>
        <sz val="10"/>
      </font>
      <fill>
        <patternFill patternType="solid">
          <fgColor rgb="00D9EAD3"/>
          <bgColor rgb="00D9EAD3"/>
        </patternFill>
      </fill>
    </dxf>
    <dxf>
      <font>
        <name val="Calibri"/>
        <b val="1"/>
        <color rgb="00006100"/>
        <sz val="11"/>
      </font>
      <fill>
        <patternFill patternType="solid">
          <fgColor rgb="00D9EAD3"/>
          <bgColor rgb="00D9EAD3"/>
        </patternFill>
      </fill>
    </dxf>
    <dxf>
      <font>
        <name val="Calibri"/>
        <b val="1"/>
        <color rgb="009C0006"/>
        <sz val="11"/>
      </font>
      <fill>
        <patternFill patternType="solid">
          <fgColor rgb="00FBE4E4"/>
          <bgColor rgb="00FBE4E4"/>
        </patternFill>
      </fill>
    </dxf>
    <dxf>
      <font>
        <name val="Calibri"/>
        <b val="1"/>
        <color rgb="00006100"/>
        <sz val="9"/>
      </font>
      <fill>
        <patternFill patternType="solid">
          <fgColor rgb="00D9EAD3"/>
          <bgColor rgb="00D9EAD3"/>
        </patternFill>
      </fill>
    </dxf>
    <dxf>
      <font>
        <name val="Calibri"/>
        <b val="1"/>
        <color rgb="009C0006"/>
        <sz val="9"/>
      </font>
      <fill>
        <patternFill patternType="solid">
          <fgColor rgb="00FBE4E4"/>
          <bgColor rgb="00FB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2.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3.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4.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5.xml><?xml version="1.0" encoding="utf-8"?>
<comments xmlns="http://schemas.openxmlformats.org/spreadsheetml/2006/main">
  <authors>
    <author>Build Script</author>
  </authors>
  <commentList>
    <comment ref="B20" authorId="0" shapeId="0">
      <text>
        <t>Enter the date you pasted this data.</t>
      </text>
    </comment>
  </commentList>
</comments>
</file>

<file path=xl/comments/comment6.xml><?xml version="1.0" encoding="utf-8"?>
<comments xmlns="http://schemas.openxmlformats.org/spreadsheetml/2006/main">
  <authors>
    <author>Build Script</author>
  </authors>
  <commentList>
    <comment ref="A3" authorId="0" shapeId="0">
      <text>
        <t>This row will hold the current week's KPIs after Monday reporting is complete. Copy values from Summary tab (paste as VALUES only) so next week's WoW formulas can reference them.</t>
      </text>
    </comment>
  </commentList>
</comments>
</file>

<file path=xl/comments/comment7.xml><?xml version="1.0" encoding="utf-8"?>
<comments xmlns="http://schemas.openxmlformats.org/spreadsheetml/2006/main">
  <authors>
    <author>Build Script</author>
  </authors>
  <commentList>
    <comment ref="B12" authorId="0" shapeId="0">
      <text>
        <t>BEK purchases are company-wide (not per-location). This divides the total food purchases by 5 locations as an estimate. If BEK CSV has no 'Category' column, it sums all invoice line items divided by 5. For precise allocation, enter manually.</t>
      </text>
    </comment>
    <comment ref="B16" authorId="0" shapeId="0">
      <text>
        <t>MANUAL ENTRY — v1: Enter total labor cost for this location from your Square Labor report (Total Hours x Avg Hourly Rate). Phase 2 will automate this via Square Labor CSV import. Example: if 80 hours @ avg $14.50/hr, enter 1160.</t>
      </text>
    </comment>
  </commentList>
</comments>
</file>

<file path=xl/comments/comment8.xml><?xml version="1.0" encoding="utf-8"?>
<comments xmlns="http://schemas.openxmlformats.org/spreadsheetml/2006/main">
  <authors>
    <author>Build Script</author>
  </authors>
  <commentList>
    <comment ref="B12" authorId="0" shapeId="0">
      <text>
        <t>BEK purchases are company-wide (not per-location). This divides the total food purchases by 5 locations as an estimate. If BEK CSV has no 'Category' column, it sums all invoice line items divided by 5. For precise allocation, enter manually.</t>
      </text>
    </comment>
    <comment ref="B16" authorId="0" shapeId="0">
      <text>
        <t>MANUAL ENTRY — v1: Enter total labor cost for this location from your Square Labor report (Total Hours x Avg Hourly Rate). Phase 2 will automate this via Square Labor CSV import. Example: if 80 hours @ avg $14.50/hr, enter 1160.</t>
      </text>
    </comment>
  </commentList>
</comments>
</file>

<file path=xl/comments/comment9.xml><?xml version="1.0" encoding="utf-8"?>
<comments xmlns="http://schemas.openxmlformats.org/spreadsheetml/2006/main">
  <authors>
    <author>Build Script</author>
  </authors>
  <commentList>
    <comment ref="B12" authorId="0" shapeId="0">
      <text>
        <t>BEK purchases are company-wide (not per-location). This divides the total food purchases by 5 locations as an estimate. If BEK CSV has no 'Category' column, it sums all invoice line items divided by 5. For precise allocation, enter manually.</t>
      </text>
    </comment>
    <comment ref="B16" authorId="0" shapeId="0">
      <text>
        <t>MANUAL ENTRY — v1: Enter total labor cost for this location from your Square Labor report (Total Hours x Avg Hourly Rate). Phase 2 will automate this via Square Labor CSV import. Example: if 80 hours @ avg $14.50/hr, enter 1160.</t>
      </text>
    </comment>
  </commentList>
</comments>
</file>

<file path=xl/comments/comment10.xml><?xml version="1.0" encoding="utf-8"?>
<comments xmlns="http://schemas.openxmlformats.org/spreadsheetml/2006/main">
  <authors>
    <author>Build Script</author>
  </authors>
  <commentList>
    <comment ref="B12" authorId="0" shapeId="0">
      <text>
        <t>BEK purchases are company-wide (not per-location). This divides the total food purchases by 5 locations as an estimate. If BEK CSV has no 'Category' column, it sums all invoice line items divided by 5. For precise allocation, enter manually.</t>
      </text>
    </comment>
    <comment ref="B16" authorId="0" shapeId="0">
      <text>
        <t>MANUAL ENTRY — v1: Enter total labor cost for this location from your Square Labor report (Total Hours x Avg Hourly Rate). Phase 2 will automate this via Square Labor CSV import. Example: if 80 hours @ avg $14.50/hr, enter 1160.</t>
      </text>
    </comment>
  </commentList>
</comments>
</file>

<file path=xl/comments/comment11.xml><?xml version="1.0" encoding="utf-8"?>
<comments xmlns="http://schemas.openxmlformats.org/spreadsheetml/2006/main">
  <authors>
    <author>Build Script</author>
  </authors>
  <commentList>
    <comment ref="B12" authorId="0" shapeId="0">
      <text>
        <t>BEK purchases are company-wide (not per-location). This divides the total food purchases by 5 locations as an estimate. If BEK CSV has no 'Category' column, it sums all invoice line items divided by 5. For precise allocation, enter manually.</t>
      </text>
    </comment>
    <comment ref="B16" authorId="0" shapeId="0">
      <text>
        <t>MANUAL ENTRY — v1: Enter total labor cost for this location from your Square Labor report (Total Hours x Avg Hourly Rate). Phase 2 will automate this via Square Labor CSV import. Example: if 80 hours @ avg $14.50/hr, enter 1160.</t>
      </text>
    </comment>
  </commentList>
</comments>
</file>

<file path=xl/comments/comment12.xml><?xml version="1.0" encoding="utf-8"?>
<comments xmlns="http://schemas.openxmlformats.org/spreadsheetml/2006/main">
  <authors>
    <author>Build Script</author>
  </authors>
  <commentList>
    <comment ref="B2" authorId="0" shapeId="0">
      <text>
        <t>Enter the Sunday date for this reporting week (e.g., 2026-03-15). All calc tabs link to this cell, so WoW comparisons update automatically.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tabColor rgb="006AA84F"/>
    <outlinePr summaryBelow="1" summaryRight="1"/>
    <pageSetUpPr/>
  </sheetPr>
  <dimension ref="A1:B60"/>
  <sheetViews>
    <sheetView workbookViewId="0">
      <pane ySplit="1" topLeftCell="A2" activePane="bottomLeft" state="frozen"/>
      <selection pane="bottomLeft" activeCell="A1" sqref="A1"/>
    </sheetView>
  </sheetViews>
  <sheetFormatPr baseColWidth="8" defaultRowHeight="15"/>
  <cols>
    <col width="80" customWidth="1" min="1" max="1"/>
    <col width="20" customWidth="1" min="2" max="2"/>
  </cols>
  <sheetData>
    <row r="1" ht="30" customHeight="1">
      <c r="A1" s="1" t="inlineStr">
        <is>
          <t>Rez Weekly Report — Instructions</t>
        </is>
      </c>
    </row>
    <row r="2" ht="18" customHeight="1">
      <c r="A2" s="2" t="inlineStr"/>
    </row>
    <row r="3" ht="40" customHeight="1">
      <c r="A3" s="2" t="inlineStr">
        <is>
          <t>IMPORTANT: Column headers in each import tab are PLACEHOLDERS. After your first CSV export from each platform, update the header row in each import tab to match your actual column names. The formulas use MATCH() on these headers — they must match exactly.</t>
        </is>
      </c>
    </row>
    <row r="4" ht="18" customHeight="1">
      <c r="A4" s="2" t="inlineStr"/>
    </row>
    <row r="5" ht="40" customHeight="1">
      <c r="A5" s="2" t="inlineStr">
        <is>
          <t>LABOR COST NOTE: The 'Est. Labor Cost (manual)' cell in each Location Calc tab requires manual entry for v1. Enter the total labor cost for that location from your Square Labor report each week. Labor Cost % is then computed automatically. Phase 2 will automate this via Square Labor CSV import.</t>
        </is>
      </c>
    </row>
    <row r="6" ht="18" customHeight="1">
      <c r="A6" s="2" t="inlineStr"/>
    </row>
    <row r="7" ht="20" customHeight="1">
      <c r="A7" s="3" t="inlineStr">
        <is>
          <t>WEEKLY CADENCE</t>
        </is>
      </c>
    </row>
    <row r="8" ht="40" customHeight="1">
      <c r="A8" s="2" t="inlineStr">
        <is>
          <t>Every Monday morning: clear last week's data from each import tab (delete rows 3 and below — keep rows 1 and 2), paste new CSVs, then check the Summary tab.</t>
        </is>
      </c>
    </row>
    <row r="9" ht="18" customHeight="1">
      <c r="A9" s="2" t="inlineStr"/>
    </row>
    <row r="10" ht="20" customHeight="1">
      <c r="A10" s="3" t="inlineStr">
        <is>
          <t>HOW TO EXPORT &amp; PASTE — SQUARE</t>
        </is>
      </c>
    </row>
    <row r="11" ht="18" customHeight="1">
      <c r="A11" s="2" t="inlineStr">
        <is>
          <t>1. Log into Square Dashboard</t>
        </is>
      </c>
    </row>
    <row r="12" ht="18" customHeight="1">
      <c r="A12" s="2" t="inlineStr">
        <is>
          <t>2. Go to: Reports &gt; Sales Summary</t>
        </is>
      </c>
    </row>
    <row r="13" ht="18" customHeight="1">
      <c r="A13" s="2" t="inlineStr">
        <is>
          <t>3. Select date range: Mon–Sun of the week you are reporting</t>
        </is>
      </c>
    </row>
    <row r="14" ht="18" customHeight="1">
      <c r="A14" s="2" t="inlineStr">
        <is>
          <t>4. Click 'Export CSV'</t>
        </is>
      </c>
    </row>
    <row r="15" ht="18" customHeight="1">
      <c r="A15" s="2" t="inlineStr">
        <is>
          <t>5. Open the CSV, select all, copy</t>
        </is>
      </c>
    </row>
    <row r="16" ht="18" customHeight="1">
      <c r="A16" s="2" t="inlineStr">
        <is>
          <t>6. Click into cell A3 of the Square-Import tab in this workbook</t>
        </is>
      </c>
    </row>
    <row r="17" ht="18" customHeight="1">
      <c r="A17" s="2" t="inlineStr">
        <is>
          <t>7. Paste (do not paste with formatting — plain paste only)</t>
        </is>
      </c>
    </row>
    <row r="18" ht="18" customHeight="1">
      <c r="A18" s="2" t="inlineStr"/>
    </row>
    <row r="19" ht="20" customHeight="1">
      <c r="A19" s="3" t="inlineStr">
        <is>
          <t>HOW TO EXPORT &amp; PASTE — DOORDASH</t>
        </is>
      </c>
    </row>
    <row r="20" ht="18" customHeight="1">
      <c r="A20" s="2" t="inlineStr">
        <is>
          <t>1. Log into DoorDash Merchant Portal</t>
        </is>
      </c>
    </row>
    <row r="21" ht="18" customHeight="1">
      <c r="A21" s="2" t="inlineStr">
        <is>
          <t>2. Go to: Financials &gt; Report Builder</t>
        </is>
      </c>
    </row>
    <row r="22" ht="18" customHeight="1">
      <c r="A22" s="2" t="inlineStr">
        <is>
          <t>3. Select the week you are reporting (Monday to Sunday)</t>
        </is>
      </c>
    </row>
    <row r="23" ht="18" customHeight="1">
      <c r="A23" s="2" t="inlineStr">
        <is>
          <t>4. Download CSV</t>
        </is>
      </c>
    </row>
    <row r="24" ht="18" customHeight="1">
      <c r="A24" s="2" t="inlineStr">
        <is>
          <t>5. Open the CSV, select all, copy</t>
        </is>
      </c>
    </row>
    <row r="25" ht="18" customHeight="1">
      <c r="A25" s="2" t="inlineStr">
        <is>
          <t>6. Click into cell A3 of the DoorDash-Import tab</t>
        </is>
      </c>
    </row>
    <row r="26" ht="18" customHeight="1">
      <c r="A26" s="2" t="inlineStr">
        <is>
          <t>7. Paste (plain paste only)</t>
        </is>
      </c>
    </row>
    <row r="27" ht="18" customHeight="1">
      <c r="A27" s="2" t="inlineStr"/>
    </row>
    <row r="28" ht="20" customHeight="1">
      <c r="A28" s="3" t="inlineStr">
        <is>
          <t>HOW TO EXPORT &amp; PASTE — UBER EATS</t>
        </is>
      </c>
    </row>
    <row r="29" ht="18" customHeight="1">
      <c r="A29" s="2" t="inlineStr">
        <is>
          <t>1. Log into Uber Eats Manager</t>
        </is>
      </c>
    </row>
    <row r="30" ht="18" customHeight="1">
      <c r="A30" s="2" t="inlineStr">
        <is>
          <t>2. Go to: Analytics &gt; Reports</t>
        </is>
      </c>
    </row>
    <row r="31" ht="18" customHeight="1">
      <c r="A31" s="2" t="inlineStr">
        <is>
          <t>3. Select 'Download Report' and choose the reporting week</t>
        </is>
      </c>
    </row>
    <row r="32" ht="18" customHeight="1">
      <c r="A32" s="2" t="inlineStr">
        <is>
          <t>4. Open the CSV, select all, copy</t>
        </is>
      </c>
    </row>
    <row r="33" ht="18" customHeight="1">
      <c r="A33" s="2" t="inlineStr">
        <is>
          <t>5. Click into cell A3 of the UberEats-Import tab</t>
        </is>
      </c>
    </row>
    <row r="34" ht="18" customHeight="1">
      <c r="A34" s="2" t="inlineStr">
        <is>
          <t>6. Paste (plain paste only)</t>
        </is>
      </c>
    </row>
    <row r="35" ht="18" customHeight="1">
      <c r="A35" s="2" t="inlineStr"/>
    </row>
    <row r="36" ht="20" customHeight="1">
      <c r="A36" s="3" t="inlineStr">
        <is>
          <t>HOW TO EXPORT &amp; PASTE — GRUBHUB</t>
        </is>
      </c>
    </row>
    <row r="37" ht="18" customHeight="1">
      <c r="A37" s="2" t="inlineStr">
        <is>
          <t>1. Log into Grubhub Restaurant Hub</t>
        </is>
      </c>
    </row>
    <row r="38" ht="18" customHeight="1">
      <c r="A38" s="2" t="inlineStr">
        <is>
          <t>2. Go to: Reports</t>
        </is>
      </c>
    </row>
    <row r="39" ht="18" customHeight="1">
      <c r="A39" s="2" t="inlineStr">
        <is>
          <t>3. Select the week and click 'Export'</t>
        </is>
      </c>
    </row>
    <row r="40" ht="18" customHeight="1">
      <c r="A40" s="2" t="inlineStr">
        <is>
          <t>4. Open the CSV, select all, copy</t>
        </is>
      </c>
    </row>
    <row r="41" ht="18" customHeight="1">
      <c r="A41" s="2" t="inlineStr">
        <is>
          <t>5. Click into cell A3 of the Grubhub-Import tab</t>
        </is>
      </c>
    </row>
    <row r="42" ht="18" customHeight="1">
      <c r="A42" s="2" t="inlineStr">
        <is>
          <t>6. Paste (plain paste only)</t>
        </is>
      </c>
    </row>
    <row r="43" ht="40" customHeight="1">
      <c r="A43" s="2" t="inlineStr">
        <is>
          <t>NOTE: Grubhub payouts are sometimes delayed 7–10 days. If the Grubhub column shows $0 on Monday, that is normal — check back Tuesday or Wednesday and update the Last Updated cell in the Grubhub-Import tab.</t>
        </is>
      </c>
    </row>
    <row r="44" ht="18" customHeight="1">
      <c r="A44" s="2" t="inlineStr"/>
    </row>
    <row r="45" ht="20" customHeight="1">
      <c r="A45" s="3" t="inlineStr">
        <is>
          <t>HOW TO EXPORT &amp; PASTE — BEK ENTREE</t>
        </is>
      </c>
    </row>
    <row r="46" ht="18" customHeight="1">
      <c r="A46" s="2" t="inlineStr">
        <is>
          <t>1. Log into BEK Entree Portal</t>
        </is>
      </c>
    </row>
    <row r="47" ht="18" customHeight="1">
      <c r="A47" s="2" t="inlineStr">
        <is>
          <t>2. Go to: Order History &gt; Export Invoice CSV</t>
        </is>
      </c>
    </row>
    <row r="48" ht="18" customHeight="1">
      <c r="A48" s="2" t="inlineStr">
        <is>
          <t>3. Select date range matching your reporting week</t>
        </is>
      </c>
    </row>
    <row r="49" ht="18" customHeight="1">
      <c r="A49" s="2" t="inlineStr">
        <is>
          <t>4. Open the CSV, select all, copy</t>
        </is>
      </c>
    </row>
    <row r="50" ht="18" customHeight="1">
      <c r="A50" s="2" t="inlineStr">
        <is>
          <t>5. Click into cell A3 of the BEK-Import tab</t>
        </is>
      </c>
    </row>
    <row r="51" ht="18" customHeight="1">
      <c r="A51" s="2" t="inlineStr">
        <is>
          <t>6. Paste (plain paste only)</t>
        </is>
      </c>
    </row>
    <row r="52" ht="40" customHeight="1">
      <c r="A52" s="2" t="inlineStr">
        <is>
          <t>NOTE: BEK purchases are company-wide (not per-location). The workbook divides BEK total evenly across 5 locations as an estimate. For exact allocation, enter the per-location amount manually in the BEK Purchases cell of each Calc tab.</t>
        </is>
      </c>
    </row>
    <row r="53" ht="18" customHeight="1">
      <c r="A53" s="2" t="inlineStr"/>
    </row>
    <row r="54" ht="20" customHeight="1">
      <c r="A54" s="3" t="inlineStr">
        <is>
          <t>LABOR COST (MANUAL ENTRY — v1)</t>
        </is>
      </c>
    </row>
    <row r="55" ht="40" customHeight="1">
      <c r="A55" s="2" t="inlineStr">
        <is>
          <t>After pasting all CSV data: open each Location Calc tab and enter total labor cost for that location in the yellow 'Est. Labor Cost (manual)' cell. Get this number from your Square Labor report (Total Hours x Average Hourly Rate for that location). Labor Cost % is computed automatically once you enter the dollar amount.</t>
        </is>
      </c>
    </row>
    <row r="56" ht="18" customHeight="1">
      <c r="A56" s="2" t="inlineStr"/>
    </row>
    <row r="57" ht="20" customHeight="1">
      <c r="A57" s="3" t="inlineStr">
        <is>
          <t>TROUBLESHOOTING</t>
        </is>
      </c>
    </row>
    <row r="58" ht="40" customHeight="1">
      <c r="A58" s="2" t="inlineStr">
        <is>
          <t>If you see $0 or ERROR in the Summary tab, check the validation row (row 2) in each import tab. A red cell in row 2 means that column did not paste as a number — the data came in as text. Try pasting again without formatting, or paste into Notepad first and re-copy to strip formatting.</t>
        </is>
      </c>
    </row>
    <row r="59" ht="18" customHeight="1">
      <c r="A59" s="2" t="inlineStr"/>
    </row>
    <row r="60" ht="40" customHeight="1">
      <c r="A60" s="2" t="inlineStr">
        <is>
          <t>If MATCH column errors (#N/A) appear, the column header in the import tab does not match the header in your CSV export. Update row 1 of the import tab to match the exact column name in your CSV file.</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4A86C8"/>
    <outlinePr summaryBelow="1" summaryRight="1"/>
    <pageSetUpPr/>
  </sheetPr>
  <dimension ref="A1:I30"/>
  <sheetViews>
    <sheetView workbookViewId="0">
      <pane ySplit="2" topLeftCell="A3" activePane="bottomLeft" state="frozen"/>
      <selection pane="bottomLeft" activeCell="A1" sqref="A1"/>
    </sheetView>
  </sheetViews>
  <sheetFormatPr baseColWidth="8" defaultRowHeight="15"/>
  <cols>
    <col width="10" customWidth="1" min="1" max="1"/>
    <col width="12" customWidth="1" min="2" max="2"/>
    <col width="12" customWidth="1" min="3" max="3"/>
    <col width="13" customWidth="1" min="4" max="4"/>
    <col width="15" customWidth="1" min="5" max="5"/>
    <col width="13" customWidth="1" min="6" max="6"/>
    <col width="10" customWidth="1" min="7" max="7"/>
    <col width="10" customWidth="1" min="8" max="8"/>
    <col width="11" customWidth="1" min="9" max="9"/>
  </cols>
  <sheetData>
    <row r="1" ht="20" customHeight="1">
      <c r="A1" s="4" t="inlineStr">
        <is>
          <t>PLACEHOLDER HEADERS — Update row 2 to match your actual CSV export column names exactly.</t>
        </is>
      </c>
    </row>
    <row r="2">
      <c r="A2" s="5" t="inlineStr">
        <is>
          <t>Date</t>
        </is>
      </c>
      <c r="B2" s="5" t="inlineStr">
        <is>
          <t>Location</t>
        </is>
      </c>
      <c r="C2" s="5" t="inlineStr">
        <is>
          <t>Category</t>
        </is>
      </c>
      <c r="D2" s="5" t="inlineStr">
        <is>
          <t>Net Sales</t>
        </is>
      </c>
      <c r="E2" s="5" t="inlineStr">
        <is>
          <t>Gross Sales</t>
        </is>
      </c>
      <c r="F2" s="5" t="inlineStr">
        <is>
          <t>Discounts</t>
        </is>
      </c>
      <c r="G2" s="5" t="inlineStr">
        <is>
          <t>Tax</t>
        </is>
      </c>
      <c r="H2" s="5" t="inlineStr">
        <is>
          <t>Tips</t>
        </is>
      </c>
      <c r="I2" s="5" t="inlineStr">
        <is>
          <t>Refunds</t>
        </is>
      </c>
    </row>
    <row r="3" ht="22" customHeight="1">
      <c r="A3" s="6" t="inlineStr">
        <is>
          <t>[Date — text/date]</t>
        </is>
      </c>
      <c r="B3" s="6" t="inlineStr">
        <is>
          <t>[Location — text/date]</t>
        </is>
      </c>
      <c r="C3" s="6" t="inlineStr">
        <is>
          <t>[Category — text/date]</t>
        </is>
      </c>
      <c r="D3" s="7">
        <f>IF(ISNUMBER(INDEX(Square-Import!A:Z,4,MATCH("Net Sales",Square-Import!2:2,0))),"OK","PASTE ERROR - Net Sales is not a number")</f>
        <v/>
      </c>
      <c r="E3" s="7">
        <f>IF(ISNUMBER(INDEX(Square-Import!A:Z,4,MATCH("Gross Sales",Square-Import!2:2,0))),"OK","PASTE ERROR - Gross Sales is not a number")</f>
        <v/>
      </c>
      <c r="F3" s="6" t="inlineStr">
        <is>
          <t>[Discounts — text/date]</t>
        </is>
      </c>
      <c r="G3" s="6" t="inlineStr">
        <is>
          <t>[Tax — text/date]</t>
        </is>
      </c>
      <c r="H3" s="6" t="inlineStr">
        <is>
          <t>[Tips — text/date]</t>
        </is>
      </c>
      <c r="I3" s="6" t="inlineStr">
        <is>
          <t>[Refunds — text/date]</t>
        </is>
      </c>
    </row>
    <row r="4">
      <c r="A4" s="8" t="inlineStr">
        <is>
          <t>2026-03-09</t>
        </is>
      </c>
      <c r="B4" s="8" t="inlineStr">
        <is>
          <t>Moto Medi Lubbock</t>
        </is>
      </c>
      <c r="C4" s="8" t="inlineStr">
        <is>
          <t>Food &amp; Drink</t>
        </is>
      </c>
      <c r="D4" s="8" t="n">
        <v>1840</v>
      </c>
      <c r="E4" s="8" t="n">
        <v>1950</v>
      </c>
      <c r="F4" s="8" t="n">
        <v>55</v>
      </c>
      <c r="G4" s="8" t="n">
        <v>152.1</v>
      </c>
      <c r="H4" s="8" t="n">
        <v>0</v>
      </c>
      <c r="I4" s="8" t="n">
        <v>15</v>
      </c>
    </row>
    <row r="5">
      <c r="A5" s="9" t="inlineStr">
        <is>
          <t>2026-03-10</t>
        </is>
      </c>
      <c r="B5" s="9" t="inlineStr">
        <is>
          <t>Moto Medi Lubbock</t>
        </is>
      </c>
      <c r="C5" s="9" t="inlineStr">
        <is>
          <t>Food &amp; Drink</t>
        </is>
      </c>
      <c r="D5" s="9" t="n">
        <v>2120.5</v>
      </c>
      <c r="E5" s="9" t="n">
        <v>2230</v>
      </c>
      <c r="F5" s="9" t="n">
        <v>42</v>
      </c>
      <c r="G5" s="9" t="n">
        <v>175.32</v>
      </c>
      <c r="H5" s="9" t="n">
        <v>0</v>
      </c>
      <c r="I5" s="9" t="n">
        <v>12.5</v>
      </c>
    </row>
    <row r="6">
      <c r="A6" s="8" t="inlineStr">
        <is>
          <t>2026-03-11</t>
        </is>
      </c>
      <c r="B6" s="8" t="inlineStr">
        <is>
          <t>Moto Medi Lubbock</t>
        </is>
      </c>
      <c r="C6" s="8" t="inlineStr">
        <is>
          <t>Food &amp; Drink</t>
        </is>
      </c>
      <c r="D6" s="8" t="n">
        <v>2340</v>
      </c>
      <c r="E6" s="8" t="n">
        <v>2450</v>
      </c>
      <c r="F6" s="8" t="n">
        <v>60</v>
      </c>
      <c r="G6" s="8" t="n">
        <v>193.62</v>
      </c>
      <c r="H6" s="8" t="n">
        <v>0</v>
      </c>
      <c r="I6" s="8" t="n">
        <v>50</v>
      </c>
    </row>
    <row r="7">
      <c r="A7" s="9" t="inlineStr">
        <is>
          <t>2026-03-12</t>
        </is>
      </c>
      <c r="B7" s="9" t="inlineStr">
        <is>
          <t>Moto Medi Lubbock</t>
        </is>
      </c>
      <c r="C7" s="9" t="inlineStr">
        <is>
          <t>Food &amp; Drink</t>
        </is>
      </c>
      <c r="D7" s="9" t="n">
        <v>2050.75</v>
      </c>
      <c r="E7" s="9" t="n">
        <v>2160</v>
      </c>
      <c r="F7" s="9" t="n">
        <v>55.25</v>
      </c>
      <c r="G7" s="9" t="n">
        <v>169.7</v>
      </c>
      <c r="H7" s="9" t="n">
        <v>0</v>
      </c>
      <c r="I7" s="9" t="n">
        <v>29.25</v>
      </c>
    </row>
    <row r="8">
      <c r="A8" s="8" t="inlineStr">
        <is>
          <t>2026-03-13</t>
        </is>
      </c>
      <c r="B8" s="8" t="inlineStr">
        <is>
          <t>Moto Medi Lubbock</t>
        </is>
      </c>
      <c r="C8" s="8" t="inlineStr">
        <is>
          <t>Food &amp; Drink</t>
        </is>
      </c>
      <c r="D8" s="8" t="n">
        <v>2490</v>
      </c>
      <c r="E8" s="8" t="n">
        <v>2610</v>
      </c>
      <c r="F8" s="8" t="n">
        <v>70</v>
      </c>
      <c r="G8" s="8" t="n">
        <v>205.93</v>
      </c>
      <c r="H8" s="8" t="n">
        <v>0</v>
      </c>
      <c r="I8" s="8" t="n">
        <v>30</v>
      </c>
    </row>
    <row r="9">
      <c r="A9" s="9" t="inlineStr">
        <is>
          <t>2026-03-09</t>
        </is>
      </c>
      <c r="B9" s="9" t="inlineStr">
        <is>
          <t>Moto Medi Amarillo</t>
        </is>
      </c>
      <c r="C9" s="9" t="inlineStr">
        <is>
          <t>Food &amp; Drink</t>
        </is>
      </c>
      <c r="D9" s="9" t="n">
        <v>1540</v>
      </c>
      <c r="E9" s="9" t="n">
        <v>1640</v>
      </c>
      <c r="F9" s="9" t="n">
        <v>45</v>
      </c>
      <c r="G9" s="9" t="n">
        <v>127.41</v>
      </c>
      <c r="H9" s="9" t="n">
        <v>0</v>
      </c>
      <c r="I9" s="9" t="n">
        <v>10</v>
      </c>
    </row>
    <row r="10">
      <c r="A10" s="8" t="inlineStr">
        <is>
          <t>2026-03-10</t>
        </is>
      </c>
      <c r="B10" s="8" t="inlineStr">
        <is>
          <t>Moto Medi Amarillo</t>
        </is>
      </c>
      <c r="C10" s="8" t="inlineStr">
        <is>
          <t>Food &amp; Drink</t>
        </is>
      </c>
      <c r="D10" s="8" t="n">
        <v>1680.25</v>
      </c>
      <c r="E10" s="8" t="n">
        <v>1790</v>
      </c>
      <c r="F10" s="8" t="n">
        <v>60</v>
      </c>
      <c r="G10" s="8" t="n">
        <v>139.04</v>
      </c>
      <c r="H10" s="8" t="n">
        <v>0</v>
      </c>
      <c r="I10" s="8" t="n">
        <v>29.75</v>
      </c>
    </row>
    <row r="11">
      <c r="A11" s="9" t="inlineStr">
        <is>
          <t>2026-03-11</t>
        </is>
      </c>
      <c r="B11" s="9" t="inlineStr">
        <is>
          <t>Moto Medi Amarillo</t>
        </is>
      </c>
      <c r="C11" s="9" t="inlineStr">
        <is>
          <t>Food &amp; Drink</t>
        </is>
      </c>
      <c r="D11" s="9" t="n">
        <v>1820</v>
      </c>
      <c r="E11" s="9" t="n">
        <v>1940</v>
      </c>
      <c r="F11" s="9" t="n">
        <v>65</v>
      </c>
      <c r="G11" s="9" t="n">
        <v>150.56</v>
      </c>
      <c r="H11" s="9" t="n">
        <v>0</v>
      </c>
      <c r="I11" s="9" t="n">
        <v>20</v>
      </c>
    </row>
    <row r="12">
      <c r="A12" s="8" t="inlineStr">
        <is>
          <t>2026-03-12</t>
        </is>
      </c>
      <c r="B12" s="8" t="inlineStr">
        <is>
          <t>Moto Medi Amarillo</t>
        </is>
      </c>
      <c r="C12" s="8" t="inlineStr">
        <is>
          <t>Food &amp; Drink</t>
        </is>
      </c>
      <c r="D12" s="8" t="n">
        <v>1590.5</v>
      </c>
      <c r="E12" s="8" t="n">
        <v>1690</v>
      </c>
      <c r="F12" s="8" t="n">
        <v>50</v>
      </c>
      <c r="G12" s="8" t="n">
        <v>131.54</v>
      </c>
      <c r="H12" s="8" t="n">
        <v>0</v>
      </c>
      <c r="I12" s="8" t="n">
        <v>19.5</v>
      </c>
    </row>
    <row r="13">
      <c r="A13" s="9" t="inlineStr">
        <is>
          <t>2026-03-13</t>
        </is>
      </c>
      <c r="B13" s="9" t="inlineStr">
        <is>
          <t>Moto Medi Amarillo</t>
        </is>
      </c>
      <c r="C13" s="9" t="inlineStr">
        <is>
          <t>Food &amp; Drink</t>
        </is>
      </c>
      <c r="D13" s="9" t="n">
        <v>1920</v>
      </c>
      <c r="E13" s="9" t="n">
        <v>2040</v>
      </c>
      <c r="F13" s="9" t="n">
        <v>70</v>
      </c>
      <c r="G13" s="9" t="n">
        <v>158.88</v>
      </c>
      <c r="H13" s="9" t="n">
        <v>0</v>
      </c>
      <c r="I13" s="9" t="n">
        <v>20</v>
      </c>
    </row>
    <row r="14">
      <c r="A14" s="8" t="inlineStr">
        <is>
          <t>2026-03-09</t>
        </is>
      </c>
      <c r="B14" s="8" t="inlineStr">
        <is>
          <t>Moto Medi 3rd</t>
        </is>
      </c>
      <c r="C14" s="8" t="inlineStr">
        <is>
          <t>Food &amp; Drink</t>
        </is>
      </c>
      <c r="D14" s="8" t="n">
        <v>1240</v>
      </c>
      <c r="E14" s="8" t="n">
        <v>1320</v>
      </c>
      <c r="F14" s="8" t="n">
        <v>35</v>
      </c>
      <c r="G14" s="8" t="n">
        <v>102.59</v>
      </c>
      <c r="H14" s="8" t="n">
        <v>0</v>
      </c>
      <c r="I14" s="8" t="n">
        <v>10</v>
      </c>
    </row>
    <row r="15">
      <c r="A15" s="9" t="inlineStr">
        <is>
          <t>2026-03-10</t>
        </is>
      </c>
      <c r="B15" s="9" t="inlineStr">
        <is>
          <t>Moto Medi 3rd</t>
        </is>
      </c>
      <c r="C15" s="9" t="inlineStr">
        <is>
          <t>Food &amp; Drink</t>
        </is>
      </c>
      <c r="D15" s="9" t="n">
        <v>1380.5</v>
      </c>
      <c r="E15" s="9" t="n">
        <v>1470</v>
      </c>
      <c r="F15" s="9" t="n">
        <v>40</v>
      </c>
      <c r="G15" s="9" t="n">
        <v>114.16</v>
      </c>
      <c r="H15" s="9" t="n">
        <v>0</v>
      </c>
      <c r="I15" s="9" t="n">
        <v>19.5</v>
      </c>
    </row>
    <row r="16">
      <c r="A16" s="8" t="inlineStr">
        <is>
          <t>2026-03-11</t>
        </is>
      </c>
      <c r="B16" s="8" t="inlineStr">
        <is>
          <t>Moto Medi 3rd</t>
        </is>
      </c>
      <c r="C16" s="8" t="inlineStr">
        <is>
          <t>Food &amp; Drink</t>
        </is>
      </c>
      <c r="D16" s="8" t="n">
        <v>1450</v>
      </c>
      <c r="E16" s="8" t="n">
        <v>1540</v>
      </c>
      <c r="F16" s="8" t="n">
        <v>42</v>
      </c>
      <c r="G16" s="8" t="n">
        <v>119.93</v>
      </c>
      <c r="H16" s="8" t="n">
        <v>0</v>
      </c>
      <c r="I16" s="8" t="n">
        <v>22</v>
      </c>
    </row>
    <row r="17">
      <c r="A17" s="9" t="inlineStr">
        <is>
          <t>2026-03-12</t>
        </is>
      </c>
      <c r="B17" s="9" t="inlineStr">
        <is>
          <t>Moto Medi 3rd</t>
        </is>
      </c>
      <c r="C17" s="9" t="inlineStr">
        <is>
          <t>Food &amp; Drink</t>
        </is>
      </c>
      <c r="D17" s="9" t="n">
        <v>1310.75</v>
      </c>
      <c r="E17" s="9" t="n">
        <v>1400</v>
      </c>
      <c r="F17" s="9" t="n">
        <v>38.25</v>
      </c>
      <c r="G17" s="9" t="n">
        <v>108.39</v>
      </c>
      <c r="H17" s="9" t="n">
        <v>0</v>
      </c>
      <c r="I17" s="9" t="n">
        <v>20.25</v>
      </c>
    </row>
    <row r="18">
      <c r="A18" s="8" t="inlineStr">
        <is>
          <t>2026-03-13</t>
        </is>
      </c>
      <c r="B18" s="8" t="inlineStr">
        <is>
          <t>Moto Medi 3rd</t>
        </is>
      </c>
      <c r="C18" s="8" t="inlineStr">
        <is>
          <t>Food &amp; Drink</t>
        </is>
      </c>
      <c r="D18" s="8" t="n">
        <v>1520</v>
      </c>
      <c r="E18" s="8" t="n">
        <v>1610</v>
      </c>
      <c r="F18" s="8" t="n">
        <v>45</v>
      </c>
      <c r="G18" s="8" t="n">
        <v>125.65</v>
      </c>
      <c r="H18" s="8" t="n">
        <v>0</v>
      </c>
      <c r="I18" s="8" t="n">
        <v>20</v>
      </c>
    </row>
    <row r="19">
      <c r="A19" s="9" t="inlineStr">
        <is>
          <t>2026-03-09</t>
        </is>
      </c>
      <c r="B19" s="9" t="inlineStr">
        <is>
          <t>Tikka Shack 1</t>
        </is>
      </c>
      <c r="C19" s="9" t="inlineStr">
        <is>
          <t>Food &amp; Drink</t>
        </is>
      </c>
      <c r="D19" s="9" t="n">
        <v>1090</v>
      </c>
      <c r="E19" s="9" t="n">
        <v>1160</v>
      </c>
      <c r="F19" s="9" t="n">
        <v>30</v>
      </c>
      <c r="G19" s="9" t="n">
        <v>90.19</v>
      </c>
      <c r="H19" s="9" t="n">
        <v>0</v>
      </c>
      <c r="I19" s="9" t="n">
        <v>10</v>
      </c>
    </row>
    <row r="20">
      <c r="A20" s="8" t="inlineStr">
        <is>
          <t>2026-03-10</t>
        </is>
      </c>
      <c r="B20" s="8" t="inlineStr">
        <is>
          <t>Tikka Shack 1</t>
        </is>
      </c>
      <c r="C20" s="8" t="inlineStr">
        <is>
          <t>Food &amp; Drink</t>
        </is>
      </c>
      <c r="D20" s="8" t="n">
        <v>1210.5</v>
      </c>
      <c r="E20" s="8" t="n">
        <v>1290</v>
      </c>
      <c r="F20" s="8" t="n">
        <v>35</v>
      </c>
      <c r="G20" s="8" t="n">
        <v>100.12</v>
      </c>
      <c r="H20" s="8" t="n">
        <v>0</v>
      </c>
      <c r="I20" s="8" t="n">
        <v>14.5</v>
      </c>
    </row>
    <row r="21">
      <c r="A21" s="9" t="inlineStr">
        <is>
          <t>2026-03-11</t>
        </is>
      </c>
      <c r="B21" s="9" t="inlineStr">
        <is>
          <t>Tikka Shack 1</t>
        </is>
      </c>
      <c r="C21" s="9" t="inlineStr">
        <is>
          <t>Food &amp; Drink</t>
        </is>
      </c>
      <c r="D21" s="9" t="n">
        <v>1320</v>
      </c>
      <c r="E21" s="9" t="n">
        <v>1400</v>
      </c>
      <c r="F21" s="9" t="n">
        <v>40</v>
      </c>
      <c r="G21" s="9" t="n">
        <v>109.14</v>
      </c>
      <c r="H21" s="9" t="n">
        <v>0</v>
      </c>
      <c r="I21" s="9" t="n">
        <v>20</v>
      </c>
    </row>
    <row r="22">
      <c r="A22" s="8" t="inlineStr">
        <is>
          <t>2026-03-12</t>
        </is>
      </c>
      <c r="B22" s="8" t="inlineStr">
        <is>
          <t>Tikka Shack 1</t>
        </is>
      </c>
      <c r="C22" s="8" t="inlineStr">
        <is>
          <t>Food &amp; Drink</t>
        </is>
      </c>
      <c r="D22" s="8" t="n">
        <v>1150.25</v>
      </c>
      <c r="E22" s="8" t="n">
        <v>1230</v>
      </c>
      <c r="F22" s="8" t="n">
        <v>32</v>
      </c>
      <c r="G22" s="8" t="n">
        <v>95.09</v>
      </c>
      <c r="H22" s="8" t="n">
        <v>0</v>
      </c>
      <c r="I22" s="8" t="n">
        <v>17.75</v>
      </c>
    </row>
    <row r="23">
      <c r="A23" s="9" t="inlineStr">
        <is>
          <t>2026-03-13</t>
        </is>
      </c>
      <c r="B23" s="9" t="inlineStr">
        <is>
          <t>Tikka Shack 1</t>
        </is>
      </c>
      <c r="C23" s="9" t="inlineStr">
        <is>
          <t>Food &amp; Drink</t>
        </is>
      </c>
      <c r="D23" s="9" t="n">
        <v>1390</v>
      </c>
      <c r="E23" s="9" t="n">
        <v>1480</v>
      </c>
      <c r="F23" s="9" t="n">
        <v>42</v>
      </c>
      <c r="G23" s="9" t="n">
        <v>114.94</v>
      </c>
      <c r="H23" s="9" t="n">
        <v>0</v>
      </c>
      <c r="I23" s="9" t="n">
        <v>18</v>
      </c>
    </row>
    <row r="24">
      <c r="A24" s="8" t="inlineStr">
        <is>
          <t>2026-03-09</t>
        </is>
      </c>
      <c r="B24" s="8" t="inlineStr">
        <is>
          <t>Tikka Shack 2</t>
        </is>
      </c>
      <c r="C24" s="8" t="inlineStr">
        <is>
          <t>Food &amp; Drink</t>
        </is>
      </c>
      <c r="D24" s="8" t="n">
        <v>980</v>
      </c>
      <c r="E24" s="8" t="n">
        <v>1050</v>
      </c>
      <c r="F24" s="8" t="n">
        <v>28</v>
      </c>
      <c r="G24" s="8" t="n">
        <v>81.03</v>
      </c>
      <c r="H24" s="8" t="n">
        <v>0</v>
      </c>
      <c r="I24" s="8" t="n">
        <v>10</v>
      </c>
    </row>
    <row r="25">
      <c r="A25" s="9" t="inlineStr">
        <is>
          <t>2026-03-10</t>
        </is>
      </c>
      <c r="B25" s="9" t="inlineStr">
        <is>
          <t>Tikka Shack 2</t>
        </is>
      </c>
      <c r="C25" s="9" t="inlineStr">
        <is>
          <t>Food &amp; Drink</t>
        </is>
      </c>
      <c r="D25" s="9" t="n">
        <v>1060.25</v>
      </c>
      <c r="E25" s="9" t="n">
        <v>1130</v>
      </c>
      <c r="F25" s="9" t="n">
        <v>30</v>
      </c>
      <c r="G25" s="9" t="n">
        <v>87.69</v>
      </c>
      <c r="H25" s="9" t="n">
        <v>0</v>
      </c>
      <c r="I25" s="9" t="n">
        <v>19.75</v>
      </c>
    </row>
    <row r="26">
      <c r="A26" s="8" t="inlineStr">
        <is>
          <t>2026-03-11</t>
        </is>
      </c>
      <c r="B26" s="8" t="inlineStr">
        <is>
          <t>Tikka Shack 2</t>
        </is>
      </c>
      <c r="C26" s="8" t="inlineStr">
        <is>
          <t>Food &amp; Drink</t>
        </is>
      </c>
      <c r="D26" s="8" t="n">
        <v>1180</v>
      </c>
      <c r="E26" s="8" t="n">
        <v>1260</v>
      </c>
      <c r="F26" s="8" t="n">
        <v>35</v>
      </c>
      <c r="G26" s="8" t="n">
        <v>97.58</v>
      </c>
      <c r="H26" s="8" t="n">
        <v>0</v>
      </c>
      <c r="I26" s="8" t="n">
        <v>15</v>
      </c>
    </row>
    <row r="27">
      <c r="A27" s="9" t="inlineStr">
        <is>
          <t>2026-03-12</t>
        </is>
      </c>
      <c r="B27" s="9" t="inlineStr">
        <is>
          <t>Tikka Shack 2</t>
        </is>
      </c>
      <c r="C27" s="9" t="inlineStr">
        <is>
          <t>Food &amp; Drink</t>
        </is>
      </c>
      <c r="D27" s="9" t="n">
        <v>1020.5</v>
      </c>
      <c r="E27" s="9" t="n">
        <v>1090</v>
      </c>
      <c r="F27" s="9" t="n">
        <v>29.5</v>
      </c>
      <c r="G27" s="9" t="n">
        <v>84.3</v>
      </c>
      <c r="H27" s="9" t="n">
        <v>0</v>
      </c>
      <c r="I27" s="9" t="n">
        <v>20</v>
      </c>
    </row>
    <row r="28">
      <c r="A28" s="8" t="inlineStr">
        <is>
          <t>2026-03-13</t>
        </is>
      </c>
      <c r="B28" s="8" t="inlineStr">
        <is>
          <t>Tikka Shack 2</t>
        </is>
      </c>
      <c r="C28" s="8" t="inlineStr">
        <is>
          <t>Food &amp; Drink</t>
        </is>
      </c>
      <c r="D28" s="8" t="n">
        <v>1140</v>
      </c>
      <c r="E28" s="8" t="n">
        <v>1220</v>
      </c>
      <c r="F28" s="8" t="n">
        <v>33</v>
      </c>
      <c r="G28" s="8" t="n">
        <v>94.25</v>
      </c>
      <c r="H28" s="8" t="n">
        <v>0</v>
      </c>
      <c r="I28" s="8" t="n">
        <v>13</v>
      </c>
    </row>
    <row r="30">
      <c r="A30" s="10" t="inlineStr">
        <is>
          <t>Last Updated:</t>
        </is>
      </c>
      <c r="B30" s="11" t="inlineStr"/>
    </row>
  </sheetData>
  <mergeCells count="1">
    <mergeCell ref="A1:I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conditionalFormatting sqref="H3">
    <cfRule type="expression" priority="8" dxfId="0" stopIfTrue="0">
      <formula>=H3="OK"</formula>
    </cfRule>
  </conditionalFormatting>
  <conditionalFormatting sqref="I3">
    <cfRule type="expression" priority="9" dxfId="0" stopIfTrue="0">
      <formula>=I3="OK"</formula>
    </cfRule>
  </conditionalFormatting>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4A86C8"/>
    <outlinePr summaryBelow="1" summaryRight="1"/>
    <pageSetUpPr/>
  </sheetPr>
  <dimension ref="A1:G30"/>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2" customWidth="1" min="3" max="3"/>
    <col width="14" customWidth="1" min="4" max="4"/>
    <col width="14" customWidth="1" min="5" max="5"/>
    <col width="15" customWidth="1" min="6" max="6"/>
    <col width="19" customWidth="1" min="7" max="7"/>
  </cols>
  <sheetData>
    <row r="1" ht="20" customHeight="1">
      <c r="A1" s="4" t="inlineStr">
        <is>
          <t>PLACEHOLDER HEADERS — Update row 2 to match your actual CSV export column names exactly.</t>
        </is>
      </c>
    </row>
    <row r="2">
      <c r="A2" s="5" t="inlineStr">
        <is>
          <t>Date</t>
        </is>
      </c>
      <c r="B2" s="5" t="inlineStr">
        <is>
          <t>Store Name</t>
        </is>
      </c>
      <c r="C2" s="5" t="inlineStr">
        <is>
          <t>Subtotal</t>
        </is>
      </c>
      <c r="D2" s="5" t="inlineStr">
        <is>
          <t>Commission</t>
        </is>
      </c>
      <c r="E2" s="5" t="inlineStr">
        <is>
          <t>Net Payout</t>
        </is>
      </c>
      <c r="F2" s="5" t="inlineStr">
        <is>
          <t>Order Count</t>
        </is>
      </c>
      <c r="G2" s="5" t="inlineStr">
        <is>
          <t>Avg Order Value</t>
        </is>
      </c>
    </row>
    <row r="3" ht="22" customHeight="1">
      <c r="A3" s="6" t="inlineStr">
        <is>
          <t>[Date — text/date]</t>
        </is>
      </c>
      <c r="B3" s="6" t="inlineStr">
        <is>
          <t>[Store Name — text/date]</t>
        </is>
      </c>
      <c r="C3" s="6" t="inlineStr">
        <is>
          <t>[Subtotal — text/date]</t>
        </is>
      </c>
      <c r="D3" s="6" t="inlineStr">
        <is>
          <t>[Commission — text/date]</t>
        </is>
      </c>
      <c r="E3" s="7">
        <f>IF(ISNUMBER(INDEX(DoorDash-Import!A:Z,4,MATCH("Net Payout",DoorDash-Import!2:2,0))),"OK","PASTE ERROR - Net Payout is not a number")</f>
        <v/>
      </c>
      <c r="F3" s="7">
        <f>IF(ISNUMBER(INDEX(DoorDash-Import!A:Z,4,MATCH("Order Count",DoorDash-Import!2:2,0))),"OK","PASTE ERROR - Order Count is not a number")</f>
        <v/>
      </c>
      <c r="G3" s="6" t="inlineStr">
        <is>
          <t>[Avg Order Value — text/date]</t>
        </is>
      </c>
    </row>
    <row r="4">
      <c r="A4" s="8" t="inlineStr">
        <is>
          <t>2026-03-09</t>
        </is>
      </c>
      <c r="B4" s="8" t="inlineStr">
        <is>
          <t>Moto Medi Lubbock</t>
        </is>
      </c>
      <c r="C4" s="8" t="n">
        <v>980</v>
      </c>
      <c r="D4" s="8" t="n">
        <v>196</v>
      </c>
      <c r="E4" s="8" t="n">
        <v>784</v>
      </c>
      <c r="F4" s="8" t="n">
        <v>52</v>
      </c>
      <c r="G4" s="8" t="n">
        <v>18.85</v>
      </c>
    </row>
    <row r="5">
      <c r="A5" s="9" t="inlineStr">
        <is>
          <t>2026-03-10</t>
        </is>
      </c>
      <c r="B5" s="9" t="inlineStr">
        <is>
          <t>Moto Medi Lubbock</t>
        </is>
      </c>
      <c r="C5" s="9" t="n">
        <v>1100</v>
      </c>
      <c r="D5" s="9" t="n">
        <v>220</v>
      </c>
      <c r="E5" s="9" t="n">
        <v>880</v>
      </c>
      <c r="F5" s="9" t="n">
        <v>58</v>
      </c>
      <c r="G5" s="9" t="n">
        <v>18.97</v>
      </c>
    </row>
    <row r="6">
      <c r="A6" s="8" t="inlineStr">
        <is>
          <t>2026-03-11</t>
        </is>
      </c>
      <c r="B6" s="8" t="inlineStr">
        <is>
          <t>Moto Medi Lubbock</t>
        </is>
      </c>
      <c r="C6" s="8" t="n">
        <v>1240</v>
      </c>
      <c r="D6" s="8" t="n">
        <v>248</v>
      </c>
      <c r="E6" s="8" t="n">
        <v>992</v>
      </c>
      <c r="F6" s="8" t="n">
        <v>64</v>
      </c>
      <c r="G6" s="8" t="n">
        <v>19.38</v>
      </c>
    </row>
    <row r="7">
      <c r="A7" s="9" t="inlineStr">
        <is>
          <t>2026-03-12</t>
        </is>
      </c>
      <c r="B7" s="9" t="inlineStr">
        <is>
          <t>Moto Medi Lubbock</t>
        </is>
      </c>
      <c r="C7" s="9" t="n">
        <v>1050</v>
      </c>
      <c r="D7" s="9" t="n">
        <v>210</v>
      </c>
      <c r="E7" s="9" t="n">
        <v>840</v>
      </c>
      <c r="F7" s="9" t="n">
        <v>55</v>
      </c>
      <c r="G7" s="9" t="n">
        <v>19.09</v>
      </c>
    </row>
    <row r="8">
      <c r="A8" s="8" t="inlineStr">
        <is>
          <t>2026-03-13</t>
        </is>
      </c>
      <c r="B8" s="8" t="inlineStr">
        <is>
          <t>Moto Medi Lubbock</t>
        </is>
      </c>
      <c r="C8" s="8" t="n">
        <v>1320</v>
      </c>
      <c r="D8" s="8" t="n">
        <v>264</v>
      </c>
      <c r="E8" s="8" t="n">
        <v>1056</v>
      </c>
      <c r="F8" s="8" t="n">
        <v>70</v>
      </c>
      <c r="G8" s="8" t="n">
        <v>18.86</v>
      </c>
    </row>
    <row r="9">
      <c r="A9" s="9" t="inlineStr">
        <is>
          <t>2026-03-09</t>
        </is>
      </c>
      <c r="B9" s="9" t="inlineStr">
        <is>
          <t>Moto Medi Amarillo</t>
        </is>
      </c>
      <c r="C9" s="9" t="n">
        <v>720</v>
      </c>
      <c r="D9" s="9" t="n">
        <v>144</v>
      </c>
      <c r="E9" s="9" t="n">
        <v>576</v>
      </c>
      <c r="F9" s="9" t="n">
        <v>40</v>
      </c>
      <c r="G9" s="9" t="n">
        <v>18</v>
      </c>
    </row>
    <row r="10">
      <c r="A10" s="8" t="inlineStr">
        <is>
          <t>2026-03-10</t>
        </is>
      </c>
      <c r="B10" s="8" t="inlineStr">
        <is>
          <t>Moto Medi Amarillo</t>
        </is>
      </c>
      <c r="C10" s="8" t="n">
        <v>810</v>
      </c>
      <c r="D10" s="8" t="n">
        <v>162</v>
      </c>
      <c r="E10" s="8" t="n">
        <v>648</v>
      </c>
      <c r="F10" s="8" t="n">
        <v>44</v>
      </c>
      <c r="G10" s="8" t="n">
        <v>18.41</v>
      </c>
    </row>
    <row r="11">
      <c r="A11" s="9" t="inlineStr">
        <is>
          <t>2026-03-11</t>
        </is>
      </c>
      <c r="B11" s="9" t="inlineStr">
        <is>
          <t>Moto Medi Amarillo</t>
        </is>
      </c>
      <c r="C11" s="9" t="n">
        <v>890</v>
      </c>
      <c r="D11" s="9" t="n">
        <v>178</v>
      </c>
      <c r="E11" s="9" t="n">
        <v>712</v>
      </c>
      <c r="F11" s="9" t="n">
        <v>48</v>
      </c>
      <c r="G11" s="9" t="n">
        <v>18.54</v>
      </c>
    </row>
    <row r="12">
      <c r="A12" s="8" t="inlineStr">
        <is>
          <t>2026-03-12</t>
        </is>
      </c>
      <c r="B12" s="8" t="inlineStr">
        <is>
          <t>Moto Medi Amarillo</t>
        </is>
      </c>
      <c r="C12" s="8" t="n">
        <v>760</v>
      </c>
      <c r="D12" s="8" t="n">
        <v>152</v>
      </c>
      <c r="E12" s="8" t="n">
        <v>608</v>
      </c>
      <c r="F12" s="8" t="n">
        <v>42</v>
      </c>
      <c r="G12" s="8" t="n">
        <v>18.1</v>
      </c>
    </row>
    <row r="13">
      <c r="A13" s="9" t="inlineStr">
        <is>
          <t>2026-03-13</t>
        </is>
      </c>
      <c r="B13" s="9" t="inlineStr">
        <is>
          <t>Moto Medi Amarillo</t>
        </is>
      </c>
      <c r="C13" s="9" t="n">
        <v>940</v>
      </c>
      <c r="D13" s="9" t="n">
        <v>188</v>
      </c>
      <c r="E13" s="9" t="n">
        <v>752</v>
      </c>
      <c r="F13" s="9" t="n">
        <v>52</v>
      </c>
      <c r="G13" s="9" t="n">
        <v>18.08</v>
      </c>
    </row>
    <row r="14">
      <c r="A14" s="8" t="inlineStr">
        <is>
          <t>2026-03-09</t>
        </is>
      </c>
      <c r="B14" s="8" t="inlineStr">
        <is>
          <t>Moto Medi 3rd</t>
        </is>
      </c>
      <c r="C14" s="8" t="n">
        <v>560</v>
      </c>
      <c r="D14" s="8" t="n">
        <v>112</v>
      </c>
      <c r="E14" s="8" t="n">
        <v>448</v>
      </c>
      <c r="F14" s="8" t="n">
        <v>32</v>
      </c>
      <c r="G14" s="8" t="n">
        <v>17.5</v>
      </c>
    </row>
    <row r="15">
      <c r="A15" s="9" t="inlineStr">
        <is>
          <t>2026-03-10</t>
        </is>
      </c>
      <c r="B15" s="9" t="inlineStr">
        <is>
          <t>Moto Medi 3rd</t>
        </is>
      </c>
      <c r="C15" s="9" t="n">
        <v>620</v>
      </c>
      <c r="D15" s="9" t="n">
        <v>124</v>
      </c>
      <c r="E15" s="9" t="n">
        <v>496</v>
      </c>
      <c r="F15" s="9" t="n">
        <v>35</v>
      </c>
      <c r="G15" s="9" t="n">
        <v>17.71</v>
      </c>
    </row>
    <row r="16">
      <c r="A16" s="8" t="inlineStr">
        <is>
          <t>2026-03-11</t>
        </is>
      </c>
      <c r="B16" s="8" t="inlineStr">
        <is>
          <t>Moto Medi 3rd</t>
        </is>
      </c>
      <c r="C16" s="8" t="n">
        <v>710</v>
      </c>
      <c r="D16" s="8" t="n">
        <v>142</v>
      </c>
      <c r="E16" s="8" t="n">
        <v>568</v>
      </c>
      <c r="F16" s="8" t="n">
        <v>40</v>
      </c>
      <c r="G16" s="8" t="n">
        <v>17.75</v>
      </c>
    </row>
    <row r="17">
      <c r="A17" s="9" t="inlineStr">
        <is>
          <t>2026-03-12</t>
        </is>
      </c>
      <c r="B17" s="9" t="inlineStr">
        <is>
          <t>Moto Medi 3rd</t>
        </is>
      </c>
      <c r="C17" s="9" t="n">
        <v>590</v>
      </c>
      <c r="D17" s="9" t="n">
        <v>118</v>
      </c>
      <c r="E17" s="9" t="n">
        <v>472</v>
      </c>
      <c r="F17" s="9" t="n">
        <v>34</v>
      </c>
      <c r="G17" s="9" t="n">
        <v>17.35</v>
      </c>
    </row>
    <row r="18">
      <c r="A18" s="8" t="inlineStr">
        <is>
          <t>2026-03-13</t>
        </is>
      </c>
      <c r="B18" s="8" t="inlineStr">
        <is>
          <t>Moto Medi 3rd</t>
        </is>
      </c>
      <c r="C18" s="8" t="n">
        <v>680</v>
      </c>
      <c r="D18" s="8" t="n">
        <v>136</v>
      </c>
      <c r="E18" s="8" t="n">
        <v>544</v>
      </c>
      <c r="F18" s="8" t="n">
        <v>38</v>
      </c>
      <c r="G18" s="8" t="n">
        <v>17.89</v>
      </c>
    </row>
    <row r="19">
      <c r="A19" s="9" t="inlineStr">
        <is>
          <t>2026-03-09</t>
        </is>
      </c>
      <c r="B19" s="9" t="inlineStr">
        <is>
          <t>Tikka Shack 1</t>
        </is>
      </c>
      <c r="C19" s="9" t="n">
        <v>490</v>
      </c>
      <c r="D19" s="9" t="n">
        <v>98</v>
      </c>
      <c r="E19" s="9" t="n">
        <v>392</v>
      </c>
      <c r="F19" s="9" t="n">
        <v>28</v>
      </c>
      <c r="G19" s="9" t="n">
        <v>17.5</v>
      </c>
    </row>
    <row r="20">
      <c r="A20" s="8" t="inlineStr">
        <is>
          <t>2026-03-10</t>
        </is>
      </c>
      <c r="B20" s="8" t="inlineStr">
        <is>
          <t>Tikka Shack 1</t>
        </is>
      </c>
      <c r="C20" s="8" t="n">
        <v>540</v>
      </c>
      <c r="D20" s="8" t="n">
        <v>108</v>
      </c>
      <c r="E20" s="8" t="n">
        <v>432</v>
      </c>
      <c r="F20" s="8" t="n">
        <v>31</v>
      </c>
      <c r="G20" s="8" t="n">
        <v>17.42</v>
      </c>
    </row>
    <row r="21">
      <c r="A21" s="9" t="inlineStr">
        <is>
          <t>2026-03-11</t>
        </is>
      </c>
      <c r="B21" s="9" t="inlineStr">
        <is>
          <t>Tikka Shack 1</t>
        </is>
      </c>
      <c r="C21" s="9" t="n">
        <v>610</v>
      </c>
      <c r="D21" s="9" t="n">
        <v>122</v>
      </c>
      <c r="E21" s="9" t="n">
        <v>488</v>
      </c>
      <c r="F21" s="9" t="n">
        <v>35</v>
      </c>
      <c r="G21" s="9" t="n">
        <v>17.43</v>
      </c>
    </row>
    <row r="22">
      <c r="A22" s="8" t="inlineStr">
        <is>
          <t>2026-03-12</t>
        </is>
      </c>
      <c r="B22" s="8" t="inlineStr">
        <is>
          <t>Tikka Shack 1</t>
        </is>
      </c>
      <c r="C22" s="8" t="n">
        <v>510</v>
      </c>
      <c r="D22" s="8" t="n">
        <v>102</v>
      </c>
      <c r="E22" s="8" t="n">
        <v>408</v>
      </c>
      <c r="F22" s="8" t="n">
        <v>29</v>
      </c>
      <c r="G22" s="8" t="n">
        <v>17.59</v>
      </c>
    </row>
    <row r="23">
      <c r="A23" s="9" t="inlineStr">
        <is>
          <t>2026-03-13</t>
        </is>
      </c>
      <c r="B23" s="9" t="inlineStr">
        <is>
          <t>Tikka Shack 1</t>
        </is>
      </c>
      <c r="C23" s="9" t="n">
        <v>660</v>
      </c>
      <c r="D23" s="9" t="n">
        <v>132</v>
      </c>
      <c r="E23" s="9" t="n">
        <v>528</v>
      </c>
      <c r="F23" s="9" t="n">
        <v>38</v>
      </c>
      <c r="G23" s="9" t="n">
        <v>17.37</v>
      </c>
    </row>
    <row r="24">
      <c r="A24" s="8" t="inlineStr">
        <is>
          <t>2026-03-09</t>
        </is>
      </c>
      <c r="B24" s="8" t="inlineStr">
        <is>
          <t>Tikka Shack 2</t>
        </is>
      </c>
      <c r="C24" s="8" t="n">
        <v>410</v>
      </c>
      <c r="D24" s="8" t="n">
        <v>82</v>
      </c>
      <c r="E24" s="8" t="n">
        <v>328</v>
      </c>
      <c r="F24" s="8" t="n">
        <v>24</v>
      </c>
      <c r="G24" s="8" t="n">
        <v>17.08</v>
      </c>
    </row>
    <row r="25">
      <c r="A25" s="9" t="inlineStr">
        <is>
          <t>2026-03-10</t>
        </is>
      </c>
      <c r="B25" s="9" t="inlineStr">
        <is>
          <t>Tikka Shack 2</t>
        </is>
      </c>
      <c r="C25" s="9" t="n">
        <v>450</v>
      </c>
      <c r="D25" s="9" t="n">
        <v>90</v>
      </c>
      <c r="E25" s="9" t="n">
        <v>360</v>
      </c>
      <c r="F25" s="9" t="n">
        <v>26</v>
      </c>
      <c r="G25" s="9" t="n">
        <v>17.31</v>
      </c>
    </row>
    <row r="26">
      <c r="A26" s="8" t="inlineStr">
        <is>
          <t>2026-03-11</t>
        </is>
      </c>
      <c r="B26" s="8" t="inlineStr">
        <is>
          <t>Tikka Shack 2</t>
        </is>
      </c>
      <c r="C26" s="8" t="n">
        <v>520</v>
      </c>
      <c r="D26" s="8" t="n">
        <v>104</v>
      </c>
      <c r="E26" s="8" t="n">
        <v>416</v>
      </c>
      <c r="F26" s="8" t="n">
        <v>30</v>
      </c>
      <c r="G26" s="8" t="n">
        <v>17.33</v>
      </c>
    </row>
    <row r="27">
      <c r="A27" s="9" t="inlineStr">
        <is>
          <t>2026-03-12</t>
        </is>
      </c>
      <c r="B27" s="9" t="inlineStr">
        <is>
          <t>Tikka Shack 2</t>
        </is>
      </c>
      <c r="C27" s="9" t="n">
        <v>430</v>
      </c>
      <c r="D27" s="9" t="n">
        <v>86</v>
      </c>
      <c r="E27" s="9" t="n">
        <v>344</v>
      </c>
      <c r="F27" s="9" t="n">
        <v>25</v>
      </c>
      <c r="G27" s="9" t="n">
        <v>17.2</v>
      </c>
    </row>
    <row r="28">
      <c r="A28" s="8" t="inlineStr">
        <is>
          <t>2026-03-13</t>
        </is>
      </c>
      <c r="B28" s="8" t="inlineStr">
        <is>
          <t>Tikka Shack 2</t>
        </is>
      </c>
      <c r="C28" s="8" t="n">
        <v>570</v>
      </c>
      <c r="D28" s="8" t="n">
        <v>114</v>
      </c>
      <c r="E28" s="8" t="n">
        <v>456</v>
      </c>
      <c r="F28" s="8" t="n">
        <v>33</v>
      </c>
      <c r="G28" s="8" t="n">
        <v>17.27</v>
      </c>
    </row>
    <row r="30">
      <c r="A30" s="10" t="inlineStr">
        <is>
          <t>Last Updated:</t>
        </is>
      </c>
      <c r="B3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4A86C8"/>
    <outlinePr summaryBelow="1" summaryRight="1"/>
    <pageSetUpPr/>
  </sheetPr>
  <dimension ref="A1:G30"/>
  <sheetViews>
    <sheetView workbookViewId="0">
      <pane ySplit="2" topLeftCell="A3" activePane="bottomLeft" state="frozen"/>
      <selection pane="bottomLeft" activeCell="A1" sqref="A1"/>
    </sheetView>
  </sheetViews>
  <sheetFormatPr baseColWidth="8" defaultRowHeight="15"/>
  <cols>
    <col width="10" customWidth="1" min="1" max="1"/>
    <col width="19" customWidth="1" min="2" max="2"/>
    <col width="10" customWidth="1" min="3" max="3"/>
    <col width="19" customWidth="1" min="4" max="4"/>
    <col width="14" customWidth="1" min="5" max="5"/>
    <col width="10" customWidth="1" min="6" max="6"/>
    <col width="14" customWidth="1" min="7" max="7"/>
  </cols>
  <sheetData>
    <row r="1" ht="20" customHeight="1">
      <c r="A1" s="4" t="inlineStr">
        <is>
          <t>PLACEHOLDER HEADERS — Update row 2 to match your actual CSV export column names exactly.</t>
        </is>
      </c>
    </row>
    <row r="2">
      <c r="A2" s="5" t="inlineStr">
        <is>
          <t>Date</t>
        </is>
      </c>
      <c r="B2" s="5" t="inlineStr">
        <is>
          <t>Restaurant Name</t>
        </is>
      </c>
      <c r="C2" s="5" t="inlineStr">
        <is>
          <t>Sales</t>
        </is>
      </c>
      <c r="D2" s="5" t="inlineStr">
        <is>
          <t>Marketplace Fee</t>
        </is>
      </c>
      <c r="E2" s="5" t="inlineStr">
        <is>
          <t>Net Payout</t>
        </is>
      </c>
      <c r="F2" s="5" t="inlineStr">
        <is>
          <t>Trips</t>
        </is>
      </c>
      <c r="G2" s="5" t="inlineStr">
        <is>
          <t>Avg Basket</t>
        </is>
      </c>
    </row>
    <row r="3" ht="22" customHeight="1">
      <c r="A3" s="6" t="inlineStr">
        <is>
          <t>[Date — text/date]</t>
        </is>
      </c>
      <c r="B3" s="6" t="inlineStr">
        <is>
          <t>[Restaurant Name — text/date]</t>
        </is>
      </c>
      <c r="C3" s="7">
        <f>IF(ISNUMBER(INDEX(UberEats-Import!A:Z,4,MATCH("Sales",UberEats-Import!2:2,0))),"OK","PASTE ERROR - Sales is not a number")</f>
        <v/>
      </c>
      <c r="D3" s="6" t="inlineStr">
        <is>
          <t>[Marketplace Fee — text/date]</t>
        </is>
      </c>
      <c r="E3" s="7">
        <f>IF(ISNUMBER(INDEX(UberEats-Import!A:Z,4,MATCH("Net Payout",UberEats-Import!2:2,0))),"OK","PASTE ERROR - Net Payout is not a number")</f>
        <v/>
      </c>
      <c r="F3" s="7">
        <f>IF(ISNUMBER(INDEX(UberEats-Import!A:Z,4,MATCH("Trips",UberEats-Import!2:2,0))),"OK","PASTE ERROR - Trips is not a number")</f>
        <v/>
      </c>
      <c r="G3" s="6" t="inlineStr">
        <is>
          <t>[Avg Basket — text/date]</t>
        </is>
      </c>
    </row>
    <row r="4">
      <c r="A4" s="8" t="inlineStr">
        <is>
          <t>2026-03-09</t>
        </is>
      </c>
      <c r="B4" s="8" t="inlineStr">
        <is>
          <t>Moto Medi Lubbock</t>
        </is>
      </c>
      <c r="C4" s="8" t="n">
        <v>740</v>
      </c>
      <c r="D4" s="8" t="n">
        <v>185</v>
      </c>
      <c r="E4" s="8" t="n">
        <v>555</v>
      </c>
      <c r="F4" s="8" t="n">
        <v>40</v>
      </c>
      <c r="G4" s="8" t="n">
        <v>18.5</v>
      </c>
    </row>
    <row r="5">
      <c r="A5" s="9" t="inlineStr">
        <is>
          <t>2026-03-10</t>
        </is>
      </c>
      <c r="B5" s="9" t="inlineStr">
        <is>
          <t>Moto Medi Lubbock</t>
        </is>
      </c>
      <c r="C5" s="9" t="n">
        <v>820</v>
      </c>
      <c r="D5" s="9" t="n">
        <v>205</v>
      </c>
      <c r="E5" s="9" t="n">
        <v>615</v>
      </c>
      <c r="F5" s="9" t="n">
        <v>44</v>
      </c>
      <c r="G5" s="9" t="n">
        <v>18.64</v>
      </c>
    </row>
    <row r="6">
      <c r="A6" s="8" t="inlineStr">
        <is>
          <t>2026-03-11</t>
        </is>
      </c>
      <c r="B6" s="8" t="inlineStr">
        <is>
          <t>Moto Medi Lubbock</t>
        </is>
      </c>
      <c r="C6" s="8" t="n">
        <v>940</v>
      </c>
      <c r="D6" s="8" t="n">
        <v>235</v>
      </c>
      <c r="E6" s="8" t="n">
        <v>705</v>
      </c>
      <c r="F6" s="8" t="n">
        <v>50</v>
      </c>
      <c r="G6" s="8" t="n">
        <v>18.8</v>
      </c>
    </row>
    <row r="7">
      <c r="A7" s="9" t="inlineStr">
        <is>
          <t>2026-03-12</t>
        </is>
      </c>
      <c r="B7" s="9" t="inlineStr">
        <is>
          <t>Moto Medi Lubbock</t>
        </is>
      </c>
      <c r="C7" s="9" t="n">
        <v>780</v>
      </c>
      <c r="D7" s="9" t="n">
        <v>195</v>
      </c>
      <c r="E7" s="9" t="n">
        <v>585</v>
      </c>
      <c r="F7" s="9" t="n">
        <v>42</v>
      </c>
      <c r="G7" s="9" t="n">
        <v>18.57</v>
      </c>
    </row>
    <row r="8">
      <c r="A8" s="8" t="inlineStr">
        <is>
          <t>2026-03-13</t>
        </is>
      </c>
      <c r="B8" s="8" t="inlineStr">
        <is>
          <t>Moto Medi Lubbock</t>
        </is>
      </c>
      <c r="C8" s="8" t="n">
        <v>980</v>
      </c>
      <c r="D8" s="8" t="n">
        <v>245</v>
      </c>
      <c r="E8" s="8" t="n">
        <v>735</v>
      </c>
      <c r="F8" s="8" t="n">
        <v>53</v>
      </c>
      <c r="G8" s="8" t="n">
        <v>18.49</v>
      </c>
    </row>
    <row r="9">
      <c r="A9" s="9" t="inlineStr">
        <is>
          <t>2026-03-09</t>
        </is>
      </c>
      <c r="B9" s="9" t="inlineStr">
        <is>
          <t>Moto Medi Amarillo</t>
        </is>
      </c>
      <c r="C9" s="9" t="n">
        <v>560</v>
      </c>
      <c r="D9" s="9" t="n">
        <v>140</v>
      </c>
      <c r="E9" s="9" t="n">
        <v>420</v>
      </c>
      <c r="F9" s="9" t="n">
        <v>30</v>
      </c>
      <c r="G9" s="9" t="n">
        <v>18.67</v>
      </c>
    </row>
    <row r="10">
      <c r="A10" s="8" t="inlineStr">
        <is>
          <t>2026-03-10</t>
        </is>
      </c>
      <c r="B10" s="8" t="inlineStr">
        <is>
          <t>Moto Medi Amarillo</t>
        </is>
      </c>
      <c r="C10" s="8" t="n">
        <v>610</v>
      </c>
      <c r="D10" s="8" t="n">
        <v>152.5</v>
      </c>
      <c r="E10" s="8" t="n">
        <v>457.5</v>
      </c>
      <c r="F10" s="8" t="n">
        <v>33</v>
      </c>
      <c r="G10" s="8" t="n">
        <v>18.48</v>
      </c>
    </row>
    <row r="11">
      <c r="A11" s="9" t="inlineStr">
        <is>
          <t>2026-03-11</t>
        </is>
      </c>
      <c r="B11" s="9" t="inlineStr">
        <is>
          <t>Moto Medi Amarillo</t>
        </is>
      </c>
      <c r="C11" s="9" t="n">
        <v>680</v>
      </c>
      <c r="D11" s="9" t="n">
        <v>170</v>
      </c>
      <c r="E11" s="9" t="n">
        <v>510</v>
      </c>
      <c r="F11" s="9" t="n">
        <v>37</v>
      </c>
      <c r="G11" s="9" t="n">
        <v>18.38</v>
      </c>
    </row>
    <row r="12">
      <c r="A12" s="8" t="inlineStr">
        <is>
          <t>2026-03-12</t>
        </is>
      </c>
      <c r="B12" s="8" t="inlineStr">
        <is>
          <t>Moto Medi Amarillo</t>
        </is>
      </c>
      <c r="C12" s="8" t="n">
        <v>590</v>
      </c>
      <c r="D12" s="8" t="n">
        <v>147.5</v>
      </c>
      <c r="E12" s="8" t="n">
        <v>442.5</v>
      </c>
      <c r="F12" s="8" t="n">
        <v>32</v>
      </c>
      <c r="G12" s="8" t="n">
        <v>18.44</v>
      </c>
    </row>
    <row r="13">
      <c r="A13" s="9" t="inlineStr">
        <is>
          <t>2026-03-13</t>
        </is>
      </c>
      <c r="B13" s="9" t="inlineStr">
        <is>
          <t>Moto Medi Amarillo</t>
        </is>
      </c>
      <c r="C13" s="9" t="n">
        <v>720</v>
      </c>
      <c r="D13" s="9" t="n">
        <v>180</v>
      </c>
      <c r="E13" s="9" t="n">
        <v>540</v>
      </c>
      <c r="F13" s="9" t="n">
        <v>39</v>
      </c>
      <c r="G13" s="9" t="n">
        <v>18.46</v>
      </c>
    </row>
    <row r="14">
      <c r="A14" s="8" t="inlineStr">
        <is>
          <t>2026-03-09</t>
        </is>
      </c>
      <c r="B14" s="8" t="inlineStr">
        <is>
          <t>Moto Medi 3rd</t>
        </is>
      </c>
      <c r="C14" s="8" t="n">
        <v>420</v>
      </c>
      <c r="D14" s="8" t="n">
        <v>105</v>
      </c>
      <c r="E14" s="8" t="n">
        <v>315</v>
      </c>
      <c r="F14" s="8" t="n">
        <v>23</v>
      </c>
      <c r="G14" s="8" t="n">
        <v>18.26</v>
      </c>
    </row>
    <row r="15">
      <c r="A15" s="9" t="inlineStr">
        <is>
          <t>2026-03-10</t>
        </is>
      </c>
      <c r="B15" s="9" t="inlineStr">
        <is>
          <t>Moto Medi 3rd</t>
        </is>
      </c>
      <c r="C15" s="9" t="n">
        <v>470</v>
      </c>
      <c r="D15" s="9" t="n">
        <v>117.5</v>
      </c>
      <c r="E15" s="9" t="n">
        <v>352.5</v>
      </c>
      <c r="F15" s="9" t="n">
        <v>25</v>
      </c>
      <c r="G15" s="9" t="n">
        <v>18.8</v>
      </c>
    </row>
    <row r="16">
      <c r="A16" s="8" t="inlineStr">
        <is>
          <t>2026-03-11</t>
        </is>
      </c>
      <c r="B16" s="8" t="inlineStr">
        <is>
          <t>Moto Medi 3rd</t>
        </is>
      </c>
      <c r="C16" s="8" t="n">
        <v>540</v>
      </c>
      <c r="D16" s="8" t="n">
        <v>135</v>
      </c>
      <c r="E16" s="8" t="n">
        <v>405</v>
      </c>
      <c r="F16" s="8" t="n">
        <v>29</v>
      </c>
      <c r="G16" s="8" t="n">
        <v>18.62</v>
      </c>
    </row>
    <row r="17">
      <c r="A17" s="9" t="inlineStr">
        <is>
          <t>2026-03-12</t>
        </is>
      </c>
      <c r="B17" s="9" t="inlineStr">
        <is>
          <t>Moto Medi 3rd</t>
        </is>
      </c>
      <c r="C17" s="9" t="n">
        <v>440</v>
      </c>
      <c r="D17" s="9" t="n">
        <v>110</v>
      </c>
      <c r="E17" s="9" t="n">
        <v>330</v>
      </c>
      <c r="F17" s="9" t="n">
        <v>24</v>
      </c>
      <c r="G17" s="9" t="n">
        <v>18.33</v>
      </c>
    </row>
    <row r="18">
      <c r="A18" s="8" t="inlineStr">
        <is>
          <t>2026-03-13</t>
        </is>
      </c>
      <c r="B18" s="8" t="inlineStr">
        <is>
          <t>Moto Medi 3rd</t>
        </is>
      </c>
      <c r="C18" s="8" t="n">
        <v>510</v>
      </c>
      <c r="D18" s="8" t="n">
        <v>127.5</v>
      </c>
      <c r="E18" s="8" t="n">
        <v>382.5</v>
      </c>
      <c r="F18" s="8" t="n">
        <v>28</v>
      </c>
      <c r="G18" s="8" t="n">
        <v>18.21</v>
      </c>
    </row>
    <row r="19">
      <c r="A19" s="9" t="inlineStr">
        <is>
          <t>2026-03-09</t>
        </is>
      </c>
      <c r="B19" s="9" t="inlineStr">
        <is>
          <t>Tikka Shack 1</t>
        </is>
      </c>
      <c r="C19" s="9" t="n">
        <v>360</v>
      </c>
      <c r="D19" s="9" t="n">
        <v>90</v>
      </c>
      <c r="E19" s="9" t="n">
        <v>270</v>
      </c>
      <c r="F19" s="9" t="n">
        <v>20</v>
      </c>
      <c r="G19" s="9" t="n">
        <v>18</v>
      </c>
    </row>
    <row r="20">
      <c r="A20" s="8" t="inlineStr">
        <is>
          <t>2026-03-10</t>
        </is>
      </c>
      <c r="B20" s="8" t="inlineStr">
        <is>
          <t>Tikka Shack 1</t>
        </is>
      </c>
      <c r="C20" s="8" t="n">
        <v>400</v>
      </c>
      <c r="D20" s="8" t="n">
        <v>100</v>
      </c>
      <c r="E20" s="8" t="n">
        <v>300</v>
      </c>
      <c r="F20" s="8" t="n">
        <v>22</v>
      </c>
      <c r="G20" s="8" t="n">
        <v>18.18</v>
      </c>
    </row>
    <row r="21">
      <c r="A21" s="9" t="inlineStr">
        <is>
          <t>2026-03-11</t>
        </is>
      </c>
      <c r="B21" s="9" t="inlineStr">
        <is>
          <t>Tikka Shack 1</t>
        </is>
      </c>
      <c r="C21" s="9" t="n">
        <v>460</v>
      </c>
      <c r="D21" s="9" t="n">
        <v>115</v>
      </c>
      <c r="E21" s="9" t="n">
        <v>345</v>
      </c>
      <c r="F21" s="9" t="n">
        <v>25</v>
      </c>
      <c r="G21" s="9" t="n">
        <v>18.4</v>
      </c>
    </row>
    <row r="22">
      <c r="A22" s="8" t="inlineStr">
        <is>
          <t>2026-03-12</t>
        </is>
      </c>
      <c r="B22" s="8" t="inlineStr">
        <is>
          <t>Tikka Shack 1</t>
        </is>
      </c>
      <c r="C22" s="8" t="n">
        <v>380</v>
      </c>
      <c r="D22" s="8" t="n">
        <v>95</v>
      </c>
      <c r="E22" s="8" t="n">
        <v>285</v>
      </c>
      <c r="F22" s="8" t="n">
        <v>21</v>
      </c>
      <c r="G22" s="8" t="n">
        <v>18.1</v>
      </c>
    </row>
    <row r="23">
      <c r="A23" s="9" t="inlineStr">
        <is>
          <t>2026-03-13</t>
        </is>
      </c>
      <c r="B23" s="9" t="inlineStr">
        <is>
          <t>Tikka Shack 1</t>
        </is>
      </c>
      <c r="C23" s="9" t="n">
        <v>490</v>
      </c>
      <c r="D23" s="9" t="n">
        <v>122.5</v>
      </c>
      <c r="E23" s="9" t="n">
        <v>367.5</v>
      </c>
      <c r="F23" s="9" t="n">
        <v>27</v>
      </c>
      <c r="G23" s="9" t="n">
        <v>18.15</v>
      </c>
    </row>
    <row r="24">
      <c r="A24" s="8" t="inlineStr">
        <is>
          <t>2026-03-09</t>
        </is>
      </c>
      <c r="B24" s="8" t="inlineStr">
        <is>
          <t>Tikka Shack 2</t>
        </is>
      </c>
      <c r="C24" s="8" t="n">
        <v>300</v>
      </c>
      <c r="D24" s="8" t="n">
        <v>75</v>
      </c>
      <c r="E24" s="8" t="n">
        <v>225</v>
      </c>
      <c r="F24" s="8" t="n">
        <v>17</v>
      </c>
      <c r="G24" s="8" t="n">
        <v>17.65</v>
      </c>
    </row>
    <row r="25">
      <c r="A25" s="9" t="inlineStr">
        <is>
          <t>2026-03-10</t>
        </is>
      </c>
      <c r="B25" s="9" t="inlineStr">
        <is>
          <t>Tikka Shack 2</t>
        </is>
      </c>
      <c r="C25" s="9" t="n">
        <v>340</v>
      </c>
      <c r="D25" s="9" t="n">
        <v>85</v>
      </c>
      <c r="E25" s="9" t="n">
        <v>255</v>
      </c>
      <c r="F25" s="9" t="n">
        <v>19</v>
      </c>
      <c r="G25" s="9" t="n">
        <v>17.89</v>
      </c>
    </row>
    <row r="26">
      <c r="A26" s="8" t="inlineStr">
        <is>
          <t>2026-03-11</t>
        </is>
      </c>
      <c r="B26" s="8" t="inlineStr">
        <is>
          <t>Tikka Shack 2</t>
        </is>
      </c>
      <c r="C26" s="8" t="n">
        <v>390</v>
      </c>
      <c r="D26" s="8" t="n">
        <v>97.5</v>
      </c>
      <c r="E26" s="8" t="n">
        <v>292.5</v>
      </c>
      <c r="F26" s="8" t="n">
        <v>22</v>
      </c>
      <c r="G26" s="8" t="n">
        <v>17.73</v>
      </c>
    </row>
    <row r="27">
      <c r="A27" s="9" t="inlineStr">
        <is>
          <t>2026-03-12</t>
        </is>
      </c>
      <c r="B27" s="9" t="inlineStr">
        <is>
          <t>Tikka Shack 2</t>
        </is>
      </c>
      <c r="C27" s="9" t="n">
        <v>310</v>
      </c>
      <c r="D27" s="9" t="n">
        <v>77.5</v>
      </c>
      <c r="E27" s="9" t="n">
        <v>232.5</v>
      </c>
      <c r="F27" s="9" t="n">
        <v>18</v>
      </c>
      <c r="G27" s="9" t="n">
        <v>17.22</v>
      </c>
    </row>
    <row r="28">
      <c r="A28" s="8" t="inlineStr">
        <is>
          <t>2026-03-13</t>
        </is>
      </c>
      <c r="B28" s="8" t="inlineStr">
        <is>
          <t>Tikka Shack 2</t>
        </is>
      </c>
      <c r="C28" s="8" t="n">
        <v>420</v>
      </c>
      <c r="D28" s="8" t="n">
        <v>105</v>
      </c>
      <c r="E28" s="8" t="n">
        <v>315</v>
      </c>
      <c r="F28" s="8" t="n">
        <v>24</v>
      </c>
      <c r="G28" s="8" t="n">
        <v>17.5</v>
      </c>
    </row>
    <row r="30">
      <c r="A30" s="10" t="inlineStr">
        <is>
          <t>Last Updated:</t>
        </is>
      </c>
      <c r="B3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4A86C8"/>
    <outlinePr summaryBelow="1" summaryRight="1"/>
    <pageSetUpPr/>
  </sheetPr>
  <dimension ref="A1:G30"/>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4" customWidth="1" min="3" max="3"/>
    <col width="16" customWidth="1" min="4" max="4"/>
    <col width="22" customWidth="1" min="5" max="5"/>
    <col width="14" customWidth="1" min="6" max="6"/>
    <col width="10" customWidth="1" min="7" max="7"/>
  </cols>
  <sheetData>
    <row r="1" ht="20" customHeight="1">
      <c r="A1" s="4" t="inlineStr">
        <is>
          <t>PLACEHOLDER HEADERS — Update row 2 to match your actual CSV export column names exactly.</t>
        </is>
      </c>
    </row>
    <row r="2">
      <c r="A2" s="5" t="inlineStr">
        <is>
          <t>Date</t>
        </is>
      </c>
      <c r="B2" s="5" t="inlineStr">
        <is>
          <t>Restaurant</t>
        </is>
      </c>
      <c r="C2" s="5" t="inlineStr">
        <is>
          <t>Food Sales</t>
        </is>
      </c>
      <c r="D2" s="5" t="inlineStr">
        <is>
          <t>Delivery Fee</t>
        </is>
      </c>
      <c r="E2" s="5" t="inlineStr">
        <is>
          <t>Grubhub Commission</t>
        </is>
      </c>
      <c r="F2" s="5" t="inlineStr">
        <is>
          <t>Net Payout</t>
        </is>
      </c>
      <c r="G2" s="5" t="inlineStr">
        <is>
          <t>Orders</t>
        </is>
      </c>
    </row>
    <row r="3" ht="22" customHeight="1">
      <c r="A3" s="6" t="inlineStr">
        <is>
          <t>[Date — text/date]</t>
        </is>
      </c>
      <c r="B3" s="6" t="inlineStr">
        <is>
          <t>[Restaurant — text/date]</t>
        </is>
      </c>
      <c r="C3" s="7">
        <f>IF(ISNUMBER(INDEX(Grubhub-Import!A:Z,4,MATCH("Food Sales",Grubhub-Import!2:2,0))),"OK","PASTE ERROR - Food Sales is not a number")</f>
        <v/>
      </c>
      <c r="D3" s="6" t="inlineStr">
        <is>
          <t>[Delivery Fee — text/date]</t>
        </is>
      </c>
      <c r="E3" s="6" t="inlineStr">
        <is>
          <t>[Grubhub Commission — text/date]</t>
        </is>
      </c>
      <c r="F3" s="7">
        <f>IF(ISNUMBER(INDEX(Grubhub-Import!A:Z,4,MATCH("Net Payout",Grubhub-Import!2:2,0))),"OK","PASTE ERROR - Net Payout is not a number")</f>
        <v/>
      </c>
      <c r="G3" s="7">
        <f>IF(ISNUMBER(INDEX(Grubhub-Import!A:Z,4,MATCH("Orders",Grubhub-Import!2:2,0))),"OK","PASTE ERROR - Orders is not a number")</f>
        <v/>
      </c>
    </row>
    <row r="4">
      <c r="A4" s="8" t="inlineStr">
        <is>
          <t>2026-03-09</t>
        </is>
      </c>
      <c r="B4" s="8" t="inlineStr">
        <is>
          <t>Moto Medi Lubbock</t>
        </is>
      </c>
      <c r="C4" s="8" t="n">
        <v>380</v>
      </c>
      <c r="D4" s="8" t="n">
        <v>45</v>
      </c>
      <c r="E4" s="8" t="n">
        <v>76</v>
      </c>
      <c r="F4" s="8" t="n">
        <v>259</v>
      </c>
      <c r="G4" s="8" t="n">
        <v>21</v>
      </c>
    </row>
    <row r="5">
      <c r="A5" s="9" t="inlineStr">
        <is>
          <t>2026-03-10</t>
        </is>
      </c>
      <c r="B5" s="9" t="inlineStr">
        <is>
          <t>Moto Medi Lubbock</t>
        </is>
      </c>
      <c r="C5" s="9" t="n">
        <v>420</v>
      </c>
      <c r="D5" s="9" t="n">
        <v>50</v>
      </c>
      <c r="E5" s="9" t="n">
        <v>84</v>
      </c>
      <c r="F5" s="9" t="n">
        <v>286</v>
      </c>
      <c r="G5" s="9" t="n">
        <v>23</v>
      </c>
    </row>
    <row r="6">
      <c r="A6" s="8" t="inlineStr">
        <is>
          <t>2026-03-11</t>
        </is>
      </c>
      <c r="B6" s="8" t="inlineStr">
        <is>
          <t>Moto Medi Lubbock</t>
        </is>
      </c>
      <c r="C6" s="8" t="n">
        <v>500</v>
      </c>
      <c r="D6" s="8" t="n">
        <v>58</v>
      </c>
      <c r="E6" s="8" t="n">
        <v>100</v>
      </c>
      <c r="F6" s="8" t="n">
        <v>342</v>
      </c>
      <c r="G6" s="8" t="n">
        <v>27</v>
      </c>
    </row>
    <row r="7">
      <c r="A7" s="9" t="inlineStr">
        <is>
          <t>2026-03-12</t>
        </is>
      </c>
      <c r="B7" s="9" t="inlineStr">
        <is>
          <t>Moto Medi Lubbock</t>
        </is>
      </c>
      <c r="C7" s="9" t="n">
        <v>410</v>
      </c>
      <c r="D7" s="9" t="n">
        <v>48</v>
      </c>
      <c r="E7" s="9" t="n">
        <v>82</v>
      </c>
      <c r="F7" s="9" t="n">
        <v>280</v>
      </c>
      <c r="G7" s="9" t="n">
        <v>22</v>
      </c>
    </row>
    <row r="8">
      <c r="A8" s="8" t="inlineStr">
        <is>
          <t>2026-03-13</t>
        </is>
      </c>
      <c r="B8" s="8" t="inlineStr">
        <is>
          <t>Moto Medi Lubbock</t>
        </is>
      </c>
      <c r="C8" s="8" t="n">
        <v>540</v>
      </c>
      <c r="D8" s="8" t="n">
        <v>62</v>
      </c>
      <c r="E8" s="8" t="n">
        <v>108</v>
      </c>
      <c r="F8" s="8" t="n">
        <v>370</v>
      </c>
      <c r="G8" s="8" t="n">
        <v>29</v>
      </c>
    </row>
    <row r="9">
      <c r="A9" s="9" t="inlineStr">
        <is>
          <t>2026-03-09</t>
        </is>
      </c>
      <c r="B9" s="9" t="inlineStr">
        <is>
          <t>Moto Medi Amarillo</t>
        </is>
      </c>
      <c r="C9" s="9" t="n">
        <v>280</v>
      </c>
      <c r="D9" s="9" t="n">
        <v>34</v>
      </c>
      <c r="E9" s="9" t="n">
        <v>56</v>
      </c>
      <c r="F9" s="9" t="n">
        <v>190</v>
      </c>
      <c r="G9" s="9" t="n">
        <v>16</v>
      </c>
    </row>
    <row r="10">
      <c r="A10" s="8" t="inlineStr">
        <is>
          <t>2026-03-10</t>
        </is>
      </c>
      <c r="B10" s="8" t="inlineStr">
        <is>
          <t>Moto Medi Amarillo</t>
        </is>
      </c>
      <c r="C10" s="8" t="n">
        <v>320</v>
      </c>
      <c r="D10" s="8" t="n">
        <v>38</v>
      </c>
      <c r="E10" s="8" t="n">
        <v>64</v>
      </c>
      <c r="F10" s="8" t="n">
        <v>218</v>
      </c>
      <c r="G10" s="8" t="n">
        <v>18</v>
      </c>
    </row>
    <row r="11">
      <c r="A11" s="9" t="inlineStr">
        <is>
          <t>2026-03-11</t>
        </is>
      </c>
      <c r="B11" s="9" t="inlineStr">
        <is>
          <t>Moto Medi Amarillo</t>
        </is>
      </c>
      <c r="C11" s="9" t="n">
        <v>370</v>
      </c>
      <c r="D11" s="9" t="n">
        <v>44</v>
      </c>
      <c r="E11" s="9" t="n">
        <v>74</v>
      </c>
      <c r="F11" s="9" t="n">
        <v>252</v>
      </c>
      <c r="G11" s="9" t="n">
        <v>20</v>
      </c>
    </row>
    <row r="12">
      <c r="A12" s="8" t="inlineStr">
        <is>
          <t>2026-03-12</t>
        </is>
      </c>
      <c r="B12" s="8" t="inlineStr">
        <is>
          <t>Moto Medi Amarillo</t>
        </is>
      </c>
      <c r="C12" s="8" t="n">
        <v>290</v>
      </c>
      <c r="D12" s="8" t="n">
        <v>35</v>
      </c>
      <c r="E12" s="8" t="n">
        <v>58</v>
      </c>
      <c r="F12" s="8" t="n">
        <v>197</v>
      </c>
      <c r="G12" s="8" t="n">
        <v>16</v>
      </c>
    </row>
    <row r="13">
      <c r="A13" s="9" t="inlineStr">
        <is>
          <t>2026-03-13</t>
        </is>
      </c>
      <c r="B13" s="9" t="inlineStr">
        <is>
          <t>Moto Medi Amarillo</t>
        </is>
      </c>
      <c r="C13" s="9" t="n">
        <v>400</v>
      </c>
      <c r="D13" s="9" t="n">
        <v>47</v>
      </c>
      <c r="E13" s="9" t="n">
        <v>80</v>
      </c>
      <c r="F13" s="9" t="n">
        <v>273</v>
      </c>
      <c r="G13" s="9" t="n">
        <v>22</v>
      </c>
    </row>
    <row r="14">
      <c r="A14" s="8" t="inlineStr">
        <is>
          <t>2026-03-09</t>
        </is>
      </c>
      <c r="B14" s="8" t="inlineStr">
        <is>
          <t>Moto Medi 3rd</t>
        </is>
      </c>
      <c r="C14" s="8" t="n">
        <v>200</v>
      </c>
      <c r="D14" s="8" t="n">
        <v>25</v>
      </c>
      <c r="E14" s="8" t="n">
        <v>40</v>
      </c>
      <c r="F14" s="8" t="n">
        <v>135</v>
      </c>
      <c r="G14" s="8" t="n">
        <v>11</v>
      </c>
    </row>
    <row r="15">
      <c r="A15" s="9" t="inlineStr">
        <is>
          <t>2026-03-10</t>
        </is>
      </c>
      <c r="B15" s="9" t="inlineStr">
        <is>
          <t>Moto Medi 3rd</t>
        </is>
      </c>
      <c r="C15" s="9" t="n">
        <v>230</v>
      </c>
      <c r="D15" s="9" t="n">
        <v>28</v>
      </c>
      <c r="E15" s="9" t="n">
        <v>46</v>
      </c>
      <c r="F15" s="9" t="n">
        <v>156</v>
      </c>
      <c r="G15" s="9" t="n">
        <v>13</v>
      </c>
    </row>
    <row r="16">
      <c r="A16" s="8" t="inlineStr">
        <is>
          <t>2026-03-11</t>
        </is>
      </c>
      <c r="B16" s="8" t="inlineStr">
        <is>
          <t>Moto Medi 3rd</t>
        </is>
      </c>
      <c r="C16" s="8" t="n">
        <v>270</v>
      </c>
      <c r="D16" s="8" t="n">
        <v>32</v>
      </c>
      <c r="E16" s="8" t="n">
        <v>54</v>
      </c>
      <c r="F16" s="8" t="n">
        <v>184</v>
      </c>
      <c r="G16" s="8" t="n">
        <v>15</v>
      </c>
    </row>
    <row r="17">
      <c r="A17" s="9" t="inlineStr">
        <is>
          <t>2026-03-12</t>
        </is>
      </c>
      <c r="B17" s="9" t="inlineStr">
        <is>
          <t>Moto Medi 3rd</t>
        </is>
      </c>
      <c r="C17" s="9" t="n">
        <v>210</v>
      </c>
      <c r="D17" s="9" t="n">
        <v>26</v>
      </c>
      <c r="E17" s="9" t="n">
        <v>42</v>
      </c>
      <c r="F17" s="9" t="n">
        <v>142</v>
      </c>
      <c r="G17" s="9" t="n">
        <v>12</v>
      </c>
    </row>
    <row r="18">
      <c r="A18" s="8" t="inlineStr">
        <is>
          <t>2026-03-13</t>
        </is>
      </c>
      <c r="B18" s="8" t="inlineStr">
        <is>
          <t>Moto Medi 3rd</t>
        </is>
      </c>
      <c r="C18" s="8" t="n">
        <v>250</v>
      </c>
      <c r="D18" s="8" t="n">
        <v>30</v>
      </c>
      <c r="E18" s="8" t="n">
        <v>50</v>
      </c>
      <c r="F18" s="8" t="n">
        <v>170</v>
      </c>
      <c r="G18" s="8" t="n">
        <v>14</v>
      </c>
    </row>
    <row r="19">
      <c r="A19" s="9" t="inlineStr">
        <is>
          <t>2026-03-09</t>
        </is>
      </c>
      <c r="B19" s="9" t="inlineStr">
        <is>
          <t>Tikka Shack 1</t>
        </is>
      </c>
      <c r="C19" s="9" t="n">
        <v>170</v>
      </c>
      <c r="D19" s="9" t="n">
        <v>21</v>
      </c>
      <c r="E19" s="9" t="n">
        <v>34</v>
      </c>
      <c r="F19" s="9" t="n">
        <v>115</v>
      </c>
      <c r="G19" s="9" t="n">
        <v>9</v>
      </c>
    </row>
    <row r="20">
      <c r="A20" s="8" t="inlineStr">
        <is>
          <t>2026-03-10</t>
        </is>
      </c>
      <c r="B20" s="8" t="inlineStr">
        <is>
          <t>Tikka Shack 1</t>
        </is>
      </c>
      <c r="C20" s="8" t="n">
        <v>190</v>
      </c>
      <c r="D20" s="8" t="n">
        <v>23</v>
      </c>
      <c r="E20" s="8" t="n">
        <v>38</v>
      </c>
      <c r="F20" s="8" t="n">
        <v>129</v>
      </c>
      <c r="G20" s="8" t="n">
        <v>11</v>
      </c>
    </row>
    <row r="21">
      <c r="A21" s="9" t="inlineStr">
        <is>
          <t>2026-03-11</t>
        </is>
      </c>
      <c r="B21" s="9" t="inlineStr">
        <is>
          <t>Tikka Shack 1</t>
        </is>
      </c>
      <c r="C21" s="9" t="n">
        <v>220</v>
      </c>
      <c r="D21" s="9" t="n">
        <v>27</v>
      </c>
      <c r="E21" s="9" t="n">
        <v>44</v>
      </c>
      <c r="F21" s="9" t="n">
        <v>149</v>
      </c>
      <c r="G21" s="9" t="n">
        <v>12</v>
      </c>
    </row>
    <row r="22">
      <c r="A22" s="8" t="inlineStr">
        <is>
          <t>2026-03-12</t>
        </is>
      </c>
      <c r="B22" s="8" t="inlineStr">
        <is>
          <t>Tikka Shack 1</t>
        </is>
      </c>
      <c r="C22" s="8" t="n">
        <v>180</v>
      </c>
      <c r="D22" s="8" t="n">
        <v>22</v>
      </c>
      <c r="E22" s="8" t="n">
        <v>36</v>
      </c>
      <c r="F22" s="8" t="n">
        <v>122</v>
      </c>
      <c r="G22" s="8" t="n">
        <v>10</v>
      </c>
    </row>
    <row r="23">
      <c r="A23" s="9" t="inlineStr">
        <is>
          <t>2026-03-13</t>
        </is>
      </c>
      <c r="B23" s="9" t="inlineStr">
        <is>
          <t>Tikka Shack 1</t>
        </is>
      </c>
      <c r="C23" s="9" t="n">
        <v>240</v>
      </c>
      <c r="D23" s="9" t="n">
        <v>29</v>
      </c>
      <c r="E23" s="9" t="n">
        <v>48</v>
      </c>
      <c r="F23" s="9" t="n">
        <v>163</v>
      </c>
      <c r="G23" s="9" t="n">
        <v>13</v>
      </c>
    </row>
    <row r="24">
      <c r="A24" s="8" t="inlineStr">
        <is>
          <t>2026-03-09</t>
        </is>
      </c>
      <c r="B24" s="8" t="inlineStr">
        <is>
          <t>Tikka Shack 2</t>
        </is>
      </c>
      <c r="C24" s="8" t="n">
        <v>140</v>
      </c>
      <c r="D24" s="8" t="n">
        <v>18</v>
      </c>
      <c r="E24" s="8" t="n">
        <v>28</v>
      </c>
      <c r="F24" s="8" t="n">
        <v>94</v>
      </c>
      <c r="G24" s="8" t="n">
        <v>8</v>
      </c>
    </row>
    <row r="25">
      <c r="A25" s="9" t="inlineStr">
        <is>
          <t>2026-03-10</t>
        </is>
      </c>
      <c r="B25" s="9" t="inlineStr">
        <is>
          <t>Tikka Shack 2</t>
        </is>
      </c>
      <c r="C25" s="9" t="n">
        <v>160</v>
      </c>
      <c r="D25" s="9" t="n">
        <v>20</v>
      </c>
      <c r="E25" s="9" t="n">
        <v>32</v>
      </c>
      <c r="F25" s="9" t="n">
        <v>108</v>
      </c>
      <c r="G25" s="9" t="n">
        <v>9</v>
      </c>
    </row>
    <row r="26">
      <c r="A26" s="8" t="inlineStr">
        <is>
          <t>2026-03-11</t>
        </is>
      </c>
      <c r="B26" s="8" t="inlineStr">
        <is>
          <t>Tikka Shack 2</t>
        </is>
      </c>
      <c r="C26" s="8" t="n">
        <v>190</v>
      </c>
      <c r="D26" s="8" t="n">
        <v>23</v>
      </c>
      <c r="E26" s="8" t="n">
        <v>38</v>
      </c>
      <c r="F26" s="8" t="n">
        <v>129</v>
      </c>
      <c r="G26" s="8" t="n">
        <v>11</v>
      </c>
    </row>
    <row r="27">
      <c r="A27" s="9" t="inlineStr">
        <is>
          <t>2026-03-12</t>
        </is>
      </c>
      <c r="B27" s="9" t="inlineStr">
        <is>
          <t>Tikka Shack 2</t>
        </is>
      </c>
      <c r="C27" s="9" t="n">
        <v>145</v>
      </c>
      <c r="D27" s="9" t="n">
        <v>18</v>
      </c>
      <c r="E27" s="9" t="n">
        <v>29</v>
      </c>
      <c r="F27" s="9" t="n">
        <v>98</v>
      </c>
      <c r="G27" s="9" t="n">
        <v>8</v>
      </c>
    </row>
    <row r="28">
      <c r="A28" s="8" t="inlineStr">
        <is>
          <t>2026-03-13</t>
        </is>
      </c>
      <c r="B28" s="8" t="inlineStr">
        <is>
          <t>Tikka Shack 2</t>
        </is>
      </c>
      <c r="C28" s="8" t="n">
        <v>200</v>
      </c>
      <c r="D28" s="8" t="n">
        <v>24</v>
      </c>
      <c r="E28" s="8" t="n">
        <v>40</v>
      </c>
      <c r="F28" s="8" t="n">
        <v>136</v>
      </c>
      <c r="G28" s="8" t="n">
        <v>11</v>
      </c>
    </row>
    <row r="30">
      <c r="A30" s="10" t="inlineStr">
        <is>
          <t>Last Updated:</t>
        </is>
      </c>
      <c r="B3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4A86C8"/>
    <outlinePr summaryBelow="1" summaryRight="1"/>
    <pageSetUpPr/>
  </sheetPr>
  <dimension ref="A1:G20"/>
  <sheetViews>
    <sheetView workbookViewId="0">
      <pane ySplit="2" topLeftCell="A3" activePane="bottomLeft" state="frozen"/>
      <selection pane="bottomLeft" activeCell="A1" sqref="A1"/>
    </sheetView>
  </sheetViews>
  <sheetFormatPr baseColWidth="8" defaultRowHeight="15"/>
  <cols>
    <col width="16" customWidth="1" min="1" max="1"/>
    <col width="18" customWidth="1" min="2" max="2"/>
    <col width="20" customWidth="1" min="3" max="3"/>
    <col width="12" customWidth="1" min="4" max="4"/>
    <col width="12" customWidth="1" min="5" max="5"/>
    <col width="14" customWidth="1" min="6" max="6"/>
    <col width="10" customWidth="1" min="7" max="7"/>
  </cols>
  <sheetData>
    <row r="1" ht="20" customHeight="1">
      <c r="A1" s="4" t="inlineStr">
        <is>
          <t>PLACEHOLDER HEADERS — Update row 2 to match your actual CSV export column names exactly.</t>
        </is>
      </c>
    </row>
    <row r="2">
      <c r="A2" s="5" t="inlineStr">
        <is>
          <t>Invoice Date</t>
        </is>
      </c>
      <c r="B2" s="5" t="inlineStr">
        <is>
          <t>Invoice Number</t>
        </is>
      </c>
      <c r="C2" s="5" t="inlineStr">
        <is>
          <t>Item Description</t>
        </is>
      </c>
      <c r="D2" s="5" t="inlineStr">
        <is>
          <t>Category</t>
        </is>
      </c>
      <c r="E2" s="5" t="inlineStr">
        <is>
          <t>Quantity</t>
        </is>
      </c>
      <c r="F2" s="5" t="inlineStr">
        <is>
          <t>Unit Price</t>
        </is>
      </c>
      <c r="G2" s="5" t="inlineStr">
        <is>
          <t>Total</t>
        </is>
      </c>
    </row>
    <row r="3" ht="22" customHeight="1">
      <c r="A3" s="6" t="inlineStr">
        <is>
          <t>[Invoice Date — text/date]</t>
        </is>
      </c>
      <c r="B3" s="6" t="inlineStr">
        <is>
          <t>[Invoice Number — text/date]</t>
        </is>
      </c>
      <c r="C3" s="6" t="inlineStr">
        <is>
          <t>[Item Description — text/date]</t>
        </is>
      </c>
      <c r="D3" s="6" t="inlineStr">
        <is>
          <t>[Category — text/date]</t>
        </is>
      </c>
      <c r="E3" s="7">
        <f>IF(ISNUMBER(INDEX(BEK-Import!A:Z,4,MATCH("Quantity",BEK-Import!2:2,0))),"OK","PASTE ERROR - Quantity is not a number")</f>
        <v/>
      </c>
      <c r="F3" s="6" t="inlineStr">
        <is>
          <t>[Unit Price — text/date]</t>
        </is>
      </c>
      <c r="G3" s="7">
        <f>IF(ISNUMBER(INDEX(BEK-Import!A:Z,4,MATCH("Total",BEK-Import!2:2,0))),"OK","PASTE ERROR - Total is not a number")</f>
        <v/>
      </c>
    </row>
    <row r="4">
      <c r="A4" s="8" t="inlineStr">
        <is>
          <t>2026-03-10</t>
        </is>
      </c>
      <c r="B4" s="8" t="inlineStr">
        <is>
          <t>INV-2026-0901</t>
        </is>
      </c>
      <c r="C4" s="8" t="inlineStr">
        <is>
          <t>Chicken Thighs 40lb Case</t>
        </is>
      </c>
      <c r="D4" s="8" t="inlineStr">
        <is>
          <t>Food</t>
        </is>
      </c>
      <c r="E4" s="8" t="n">
        <v>2</v>
      </c>
      <c r="F4" s="8" t="n">
        <v>89.5</v>
      </c>
      <c r="G4" s="8" t="n">
        <v>179</v>
      </c>
    </row>
    <row r="5">
      <c r="A5" s="9" t="inlineStr">
        <is>
          <t>2026-03-10</t>
        </is>
      </c>
      <c r="B5" s="9" t="inlineStr">
        <is>
          <t>INV-2026-0901</t>
        </is>
      </c>
      <c r="C5" s="9" t="inlineStr">
        <is>
          <t>Jasmine Rice 50lb Bag</t>
        </is>
      </c>
      <c r="D5" s="9" t="inlineStr">
        <is>
          <t>Food</t>
        </is>
      </c>
      <c r="E5" s="9" t="n">
        <v>3</v>
      </c>
      <c r="F5" s="9" t="n">
        <v>42</v>
      </c>
      <c r="G5" s="9" t="n">
        <v>126</v>
      </c>
    </row>
    <row r="6">
      <c r="A6" s="8" t="inlineStr">
        <is>
          <t>2026-03-10</t>
        </is>
      </c>
      <c r="B6" s="8" t="inlineStr">
        <is>
          <t>INV-2026-0901</t>
        </is>
      </c>
      <c r="C6" s="8" t="inlineStr">
        <is>
          <t>Canola Oil 35lb Jug</t>
        </is>
      </c>
      <c r="D6" s="8" t="inlineStr">
        <is>
          <t>Food</t>
        </is>
      </c>
      <c r="E6" s="8" t="n">
        <v>4</v>
      </c>
      <c r="F6" s="8" t="n">
        <v>38.75</v>
      </c>
      <c r="G6" s="8" t="n">
        <v>155</v>
      </c>
    </row>
    <row r="7">
      <c r="A7" s="9" t="inlineStr">
        <is>
          <t>2026-03-10</t>
        </is>
      </c>
      <c r="B7" s="9" t="inlineStr">
        <is>
          <t>INV-2026-0901</t>
        </is>
      </c>
      <c r="C7" s="9" t="inlineStr">
        <is>
          <t>To-Go Containers 200ct</t>
        </is>
      </c>
      <c r="D7" s="9" t="inlineStr">
        <is>
          <t>Supplies</t>
        </is>
      </c>
      <c r="E7" s="9" t="n">
        <v>5</v>
      </c>
      <c r="F7" s="9" t="n">
        <v>18.5</v>
      </c>
      <c r="G7" s="9" t="n">
        <v>92.5</v>
      </c>
    </row>
    <row r="8">
      <c r="A8" s="8" t="inlineStr">
        <is>
          <t>2026-03-10</t>
        </is>
      </c>
      <c r="B8" s="8" t="inlineStr">
        <is>
          <t>INV-2026-0901</t>
        </is>
      </c>
      <c r="C8" s="8" t="inlineStr">
        <is>
          <t>Napkins 4000ct</t>
        </is>
      </c>
      <c r="D8" s="8" t="inlineStr">
        <is>
          <t>Supplies</t>
        </is>
      </c>
      <c r="E8" s="8" t="n">
        <v>2</v>
      </c>
      <c r="F8" s="8" t="n">
        <v>22</v>
      </c>
      <c r="G8" s="8" t="n">
        <v>44</v>
      </c>
    </row>
    <row r="9">
      <c r="A9" s="9" t="inlineStr">
        <is>
          <t>2026-03-10</t>
        </is>
      </c>
      <c r="B9" s="9" t="inlineStr">
        <is>
          <t>INV-2026-0902</t>
        </is>
      </c>
      <c r="C9" s="9" t="inlineStr">
        <is>
          <t>Ground Beef 80/20 40lb</t>
        </is>
      </c>
      <c r="D9" s="9" t="inlineStr">
        <is>
          <t>Food</t>
        </is>
      </c>
      <c r="E9" s="9" t="n">
        <v>3</v>
      </c>
      <c r="F9" s="9" t="n">
        <v>92</v>
      </c>
      <c r="G9" s="9" t="n">
        <v>276</v>
      </c>
    </row>
    <row r="10">
      <c r="A10" s="8" t="inlineStr">
        <is>
          <t>2026-03-10</t>
        </is>
      </c>
      <c r="B10" s="8" t="inlineStr">
        <is>
          <t>INV-2026-0902</t>
        </is>
      </c>
      <c r="C10" s="8" t="inlineStr">
        <is>
          <t>Paneer 10lb</t>
        </is>
      </c>
      <c r="D10" s="8" t="inlineStr">
        <is>
          <t>Food</t>
        </is>
      </c>
      <c r="E10" s="8" t="n">
        <v>4</v>
      </c>
      <c r="F10" s="8" t="n">
        <v>28.5</v>
      </c>
      <c r="G10" s="8" t="n">
        <v>114</v>
      </c>
    </row>
    <row r="11">
      <c r="A11" s="9" t="inlineStr">
        <is>
          <t>2026-03-10</t>
        </is>
      </c>
      <c r="B11" s="9" t="inlineStr">
        <is>
          <t>INV-2026-0902</t>
        </is>
      </c>
      <c r="C11" s="9" t="inlineStr">
        <is>
          <t>Spice Blend — Tikka Masala</t>
        </is>
      </c>
      <c r="D11" s="9" t="inlineStr">
        <is>
          <t>Food</t>
        </is>
      </c>
      <c r="E11" s="9" t="n">
        <v>6</v>
      </c>
      <c r="F11" s="9" t="n">
        <v>14</v>
      </c>
      <c r="G11" s="9" t="n">
        <v>84</v>
      </c>
    </row>
    <row r="12">
      <c r="A12" s="8" t="inlineStr">
        <is>
          <t>2026-03-10</t>
        </is>
      </c>
      <c r="B12" s="8" t="inlineStr">
        <is>
          <t>INV-2026-0902</t>
        </is>
      </c>
      <c r="C12" s="8" t="inlineStr">
        <is>
          <t>Gloves Medium 100ct Box</t>
        </is>
      </c>
      <c r="D12" s="8" t="inlineStr">
        <is>
          <t>Supplies</t>
        </is>
      </c>
      <c r="E12" s="8" t="n">
        <v>8</v>
      </c>
      <c r="F12" s="8" t="n">
        <v>9.75</v>
      </c>
      <c r="G12" s="8" t="n">
        <v>78</v>
      </c>
    </row>
    <row r="13">
      <c r="A13" s="9" t="inlineStr">
        <is>
          <t>2026-03-10</t>
        </is>
      </c>
      <c r="B13" s="9" t="inlineStr">
        <is>
          <t>INV-2026-0902</t>
        </is>
      </c>
      <c r="C13" s="9" t="inlineStr">
        <is>
          <t>Cleaning Supplies Bundle</t>
        </is>
      </c>
      <c r="D13" s="9" t="inlineStr">
        <is>
          <t>Supplies</t>
        </is>
      </c>
      <c r="E13" s="9" t="n">
        <v>3</v>
      </c>
      <c r="F13" s="9" t="n">
        <v>31</v>
      </c>
      <c r="G13" s="9" t="n">
        <v>93</v>
      </c>
    </row>
    <row r="14">
      <c r="A14" s="8" t="inlineStr">
        <is>
          <t>2026-03-13</t>
        </is>
      </c>
      <c r="B14" s="8" t="inlineStr">
        <is>
          <t>INV-2026-0944</t>
        </is>
      </c>
      <c r="C14" s="8" t="inlineStr">
        <is>
          <t>Chicken Thighs 40lb Case</t>
        </is>
      </c>
      <c r="D14" s="8" t="inlineStr">
        <is>
          <t>Food</t>
        </is>
      </c>
      <c r="E14" s="8" t="n">
        <v>3</v>
      </c>
      <c r="F14" s="8" t="n">
        <v>89.5</v>
      </c>
      <c r="G14" s="8" t="n">
        <v>268.5</v>
      </c>
    </row>
    <row r="15">
      <c r="A15" s="9" t="inlineStr">
        <is>
          <t>2026-03-13</t>
        </is>
      </c>
      <c r="B15" s="9" t="inlineStr">
        <is>
          <t>INV-2026-0944</t>
        </is>
      </c>
      <c r="C15" s="9" t="inlineStr">
        <is>
          <t>Flatbread Dough 12pk</t>
        </is>
      </c>
      <c r="D15" s="9" t="inlineStr">
        <is>
          <t>Food</t>
        </is>
      </c>
      <c r="E15" s="9" t="n">
        <v>6</v>
      </c>
      <c r="F15" s="9" t="n">
        <v>19</v>
      </c>
      <c r="G15" s="9" t="n">
        <v>114</v>
      </c>
    </row>
    <row r="16">
      <c r="A16" s="8" t="inlineStr">
        <is>
          <t>2026-03-13</t>
        </is>
      </c>
      <c r="B16" s="8" t="inlineStr">
        <is>
          <t>INV-2026-0944</t>
        </is>
      </c>
      <c r="C16" s="8" t="inlineStr">
        <is>
          <t>Lentils 25lb Bag</t>
        </is>
      </c>
      <c r="D16" s="8" t="inlineStr">
        <is>
          <t>Food</t>
        </is>
      </c>
      <c r="E16" s="8" t="n">
        <v>2</v>
      </c>
      <c r="F16" s="8" t="n">
        <v>31</v>
      </c>
      <c r="G16" s="8" t="n">
        <v>62</v>
      </c>
    </row>
    <row r="17">
      <c r="A17" s="9" t="inlineStr">
        <is>
          <t>2026-03-13</t>
        </is>
      </c>
      <c r="B17" s="9" t="inlineStr">
        <is>
          <t>INV-2026-0944</t>
        </is>
      </c>
      <c r="C17" s="9" t="inlineStr">
        <is>
          <t>Sauces — Proprietary Blend</t>
        </is>
      </c>
      <c r="D17" s="9" t="inlineStr">
        <is>
          <t>Food</t>
        </is>
      </c>
      <c r="E17" s="9" t="n">
        <v>4</v>
      </c>
      <c r="F17" s="9" t="n">
        <v>24</v>
      </c>
      <c r="G17" s="9" t="n">
        <v>96</v>
      </c>
    </row>
    <row r="18">
      <c r="A18" s="8" t="inlineStr">
        <is>
          <t>2026-03-13</t>
        </is>
      </c>
      <c r="B18" s="8" t="inlineStr">
        <is>
          <t>INV-2026-0944</t>
        </is>
      </c>
      <c r="C18" s="8" t="inlineStr">
        <is>
          <t>Kraft Paper Roll 300ft</t>
        </is>
      </c>
      <c r="D18" s="8" t="inlineStr">
        <is>
          <t>Supplies</t>
        </is>
      </c>
      <c r="E18" s="8" t="n">
        <v>2</v>
      </c>
      <c r="F18" s="8" t="n">
        <v>27.5</v>
      </c>
      <c r="G18" s="8" t="n">
        <v>55</v>
      </c>
    </row>
    <row r="20">
      <c r="A20" s="10" t="inlineStr">
        <is>
          <t>Last Updated:</t>
        </is>
      </c>
      <c r="B2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6AA84F"/>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9" customWidth="1" min="1" max="1"/>
    <col width="17" customWidth="1" min="2" max="2"/>
    <col width="14" customWidth="1" min="3" max="3"/>
    <col width="17" customWidth="1" min="4" max="4"/>
    <col width="15" customWidth="1" min="5" max="5"/>
    <col width="14" customWidth="1" min="6" max="6"/>
    <col width="11" customWidth="1" min="7" max="7"/>
  </cols>
  <sheetData>
    <row r="1">
      <c r="A1" s="12" t="inlineStr">
        <is>
          <t>Employee Name</t>
        </is>
      </c>
      <c r="B1" s="12" t="inlineStr">
        <is>
          <t>Square Name</t>
        </is>
      </c>
      <c r="C1" s="12" t="inlineStr">
        <is>
          <t>Location</t>
        </is>
      </c>
      <c r="D1" s="12" t="inlineStr">
        <is>
          <t>Hourly Rate</t>
        </is>
      </c>
      <c r="E1" s="12" t="inlineStr">
        <is>
          <t>Hire Date</t>
        </is>
      </c>
      <c r="F1" s="12" t="inlineStr">
        <is>
          <t>Pay Tier</t>
        </is>
      </c>
      <c r="G1" s="12" t="inlineStr">
        <is>
          <t>Notes</t>
        </is>
      </c>
    </row>
    <row r="2">
      <c r="A2" s="8" t="inlineStr">
        <is>
          <t>Marcus Johnson</t>
        </is>
      </c>
      <c r="B2" s="8" t="inlineStr">
        <is>
          <t>Marcus Johnson</t>
        </is>
      </c>
      <c r="C2" s="8" t="inlineStr">
        <is>
          <t>MML</t>
        </is>
      </c>
      <c r="D2" s="13" t="n">
        <v>16.5</v>
      </c>
      <c r="E2" s="14" t="inlineStr">
        <is>
          <t>2024-06-01</t>
        </is>
      </c>
      <c r="F2" s="8" t="inlineStr">
        <is>
          <t>Line Cook</t>
        </is>
      </c>
      <c r="G2" s="8" t="inlineStr">
        <is>
          <t>Lead cook — Lubbock</t>
        </is>
      </c>
    </row>
    <row r="3">
      <c r="A3" s="9" t="inlineStr">
        <is>
          <t>Ashley Torres</t>
        </is>
      </c>
      <c r="B3" s="9" t="inlineStr">
        <is>
          <t>Ashley Torres</t>
        </is>
      </c>
      <c r="C3" s="9" t="inlineStr">
        <is>
          <t>MML</t>
        </is>
      </c>
      <c r="D3" s="15" t="n">
        <v>14</v>
      </c>
      <c r="E3" s="16" t="inlineStr">
        <is>
          <t>2024-09-15</t>
        </is>
      </c>
      <c r="F3" s="9" t="inlineStr">
        <is>
          <t>Cashier</t>
        </is>
      </c>
      <c r="G3" s="9" t="inlineStr">
        <is>
          <t>Cross-trained on prep</t>
        </is>
      </c>
    </row>
    <row r="4">
      <c r="A4" s="8" t="inlineStr">
        <is>
          <t>Destiny Williams</t>
        </is>
      </c>
      <c r="B4" s="8" t="inlineStr">
        <is>
          <t>Destiny Williams</t>
        </is>
      </c>
      <c r="C4" s="8" t="inlineStr">
        <is>
          <t>MMA</t>
        </is>
      </c>
      <c r="D4" s="13" t="n">
        <v>14.5</v>
      </c>
      <c r="E4" s="14" t="inlineStr">
        <is>
          <t>2025-01-10</t>
        </is>
      </c>
      <c r="F4" s="8" t="inlineStr">
        <is>
          <t>Cashier</t>
        </is>
      </c>
      <c r="G4" s="8" t="inlineStr"/>
    </row>
    <row r="5">
      <c r="A5" s="9" t="inlineStr">
        <is>
          <t>Robert Kim</t>
        </is>
      </c>
      <c r="B5" s="9" t="inlineStr">
        <is>
          <t>Robert Kim</t>
        </is>
      </c>
      <c r="C5" s="9" t="inlineStr">
        <is>
          <t>MMA</t>
        </is>
      </c>
      <c r="D5" s="15" t="n">
        <v>15.75</v>
      </c>
      <c r="E5" s="16" t="inlineStr">
        <is>
          <t>2024-08-20</t>
        </is>
      </c>
      <c r="F5" s="9" t="inlineStr">
        <is>
          <t>Line Cook</t>
        </is>
      </c>
      <c r="G5" s="9" t="inlineStr"/>
    </row>
    <row r="6">
      <c r="A6" s="8" t="inlineStr">
        <is>
          <t>Jake Hernandez</t>
        </is>
      </c>
      <c r="B6" s="8" t="inlineStr">
        <is>
          <t>Jake Hernandez</t>
        </is>
      </c>
      <c r="C6" s="8" t="inlineStr">
        <is>
          <t>MM3</t>
        </is>
      </c>
      <c r="D6" s="13" t="n">
        <v>15</v>
      </c>
      <c r="E6" s="14" t="inlineStr">
        <is>
          <t>2025-03-01</t>
        </is>
      </c>
      <c r="F6" s="8" t="inlineStr">
        <is>
          <t>Line Cook</t>
        </is>
      </c>
      <c r="G6" s="8" t="inlineStr">
        <is>
          <t>Newer location</t>
        </is>
      </c>
    </row>
    <row r="7">
      <c r="A7" s="9" t="inlineStr">
        <is>
          <t>Priya Patel</t>
        </is>
      </c>
      <c r="B7" s="9" t="inlineStr">
        <is>
          <t>Priya Patel</t>
        </is>
      </c>
      <c r="C7" s="9" t="inlineStr">
        <is>
          <t>TS1</t>
        </is>
      </c>
      <c r="D7" s="15" t="n">
        <v>16</v>
      </c>
      <c r="E7" s="16" t="inlineStr">
        <is>
          <t>2024-07-14</t>
        </is>
      </c>
      <c r="F7" s="9" t="inlineStr">
        <is>
          <t>Line Cook</t>
        </is>
      </c>
      <c r="G7" s="9" t="inlineStr">
        <is>
          <t>Tikka Shack specialist</t>
        </is>
      </c>
    </row>
    <row r="8">
      <c r="A8" s="8" t="inlineStr">
        <is>
          <t>Carlos Rivera</t>
        </is>
      </c>
      <c r="B8" s="8" t="inlineStr">
        <is>
          <t>Carlos Rivera</t>
        </is>
      </c>
      <c r="C8" s="8" t="inlineStr">
        <is>
          <t>TS1</t>
        </is>
      </c>
      <c r="D8" s="13" t="n">
        <v>13.5</v>
      </c>
      <c r="E8" s="14" t="inlineStr">
        <is>
          <t>2025-02-01</t>
        </is>
      </c>
      <c r="F8" s="8" t="inlineStr">
        <is>
          <t>Cashier</t>
        </is>
      </c>
      <c r="G8" s="8" t="inlineStr"/>
    </row>
    <row r="9">
      <c r="A9" s="9" t="inlineStr">
        <is>
          <t>Keisha Brown</t>
        </is>
      </c>
      <c r="B9" s="9" t="inlineStr">
        <is>
          <t>Keisha Brown</t>
        </is>
      </c>
      <c r="C9" s="9" t="inlineStr">
        <is>
          <t>TS2</t>
        </is>
      </c>
      <c r="D9" s="15" t="n">
        <v>14.25</v>
      </c>
      <c r="E9" s="16" t="inlineStr">
        <is>
          <t>2024-11-05</t>
        </is>
      </c>
      <c r="F9" s="9" t="inlineStr">
        <is>
          <t>Line Cook</t>
        </is>
      </c>
      <c r="G9" s="9" t="inlineStr"/>
    </row>
    <row r="10">
      <c r="A10" s="8" t="inlineStr">
        <is>
          <t>Devon Scott</t>
        </is>
      </c>
      <c r="B10" s="8" t="inlineStr">
        <is>
          <t>Devon Scott</t>
        </is>
      </c>
      <c r="C10" s="8" t="inlineStr">
        <is>
          <t>MML</t>
        </is>
      </c>
      <c r="D10" s="13" t="n">
        <v>12.5</v>
      </c>
      <c r="E10" s="14" t="inlineStr">
        <is>
          <t>2025-10-20</t>
        </is>
      </c>
      <c r="F10" s="8" t="inlineStr">
        <is>
          <t>Kitchen Help</t>
        </is>
      </c>
      <c r="G10" s="8" t="inlineStr">
        <is>
          <t>Part-time</t>
        </is>
      </c>
    </row>
    <row r="11">
      <c r="A11" s="9" t="inlineStr">
        <is>
          <t>Jasmine Lee</t>
        </is>
      </c>
      <c r="B11" s="9" t="inlineStr">
        <is>
          <t>Jasmine Lee</t>
        </is>
      </c>
      <c r="C11" s="9" t="inlineStr">
        <is>
          <t>TS2</t>
        </is>
      </c>
      <c r="D11" s="15" t="n">
        <v>13</v>
      </c>
      <c r="E11" s="16" t="inlineStr">
        <is>
          <t>2025-11-01</t>
        </is>
      </c>
      <c r="F11" s="9" t="inlineStr">
        <is>
          <t>Cashier</t>
        </is>
      </c>
      <c r="G11" s="9" t="inlineStr">
        <is>
          <t>Part-time</t>
        </is>
      </c>
    </row>
    <row r="13" ht="40" customHeight="1">
      <c r="A13" s="17" t="inlineStr">
        <is>
          <t>NOTE: 'Square Name' must match the employee name exactly as it appears in Square's clock-in export. This is the VLOOKUP key for labor cost calculations. Nicknames, capitalization, and spacing must match.</t>
        </is>
      </c>
    </row>
  </sheetData>
  <mergeCells count="1">
    <mergeCell ref="A13:G13"/>
  </mergeCells>
  <dataValidations count="1">
    <dataValidation sqref="C2 C3 C4 C5 C6 C7 C8 C9 C10 C11" showDropDown="0" showInputMessage="0" showErrorMessage="1" allowBlank="1" errorTitle="Invalid Location" error="Please select one of: MML,MMA,MM3,TS1,TS2" type="list">
      <formula1>"MML,MMA,MM3,TS1,TS2"</formula1>
    </dataValidation>
  </dataValidations>
  <pageMargins left="0.75" right="0.75" top="1" bottom="1" header="0.5" footer="0.5"/>
</worksheet>
</file>

<file path=xl/worksheets/sheet8.xml><?xml version="1.0" encoding="utf-8"?>
<worksheet xmlns="http://schemas.openxmlformats.org/spreadsheetml/2006/main">
  <sheetPr>
    <tabColor rgb="00F4A442"/>
    <outlinePr summaryBelow="1" summaryRight="1"/>
    <pageSetUpPr/>
  </sheetPr>
  <dimension ref="A1:Z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9" customWidth="1" min="2" max="2"/>
    <col width="23" customWidth="1" min="3" max="3"/>
    <col width="20" customWidth="1" min="4" max="4"/>
    <col width="14" customWidth="1" min="5" max="5"/>
    <col width="18" customWidth="1" min="6" max="6"/>
    <col width="19" customWidth="1" min="7" max="7"/>
    <col width="23" customWidth="1" min="8" max="8"/>
    <col width="20" customWidth="1" min="9" max="9"/>
    <col width="14" customWidth="1" min="10" max="10"/>
    <col width="18" customWidth="1" min="11" max="11"/>
    <col width="19" customWidth="1" min="12" max="12"/>
    <col width="23" customWidth="1" min="13" max="13"/>
    <col width="20" customWidth="1" min="14" max="14"/>
    <col width="14" customWidth="1" min="15" max="15"/>
    <col width="18" customWidth="1" min="16" max="16"/>
    <col width="19" customWidth="1" min="17" max="17"/>
    <col width="23" customWidth="1" min="18" max="18"/>
    <col width="20" customWidth="1" min="19" max="19"/>
    <col width="14" customWidth="1" min="20" max="20"/>
    <col width="18" customWidth="1" min="21" max="21"/>
    <col width="19" customWidth="1" min="22" max="22"/>
    <col width="23" customWidth="1" min="23" max="23"/>
    <col width="20" customWidth="1" min="24" max="24"/>
    <col width="14" customWidth="1" min="25" max="25"/>
    <col width="18" customWidth="1" min="26" max="26"/>
  </cols>
  <sheetData>
    <row r="1" ht="30" customHeight="1">
      <c r="A1" s="12" t="inlineStr">
        <is>
          <t>Week Ending</t>
        </is>
      </c>
      <c r="B1" s="12" t="inlineStr">
        <is>
          <t>MML Net Revenue</t>
        </is>
      </c>
      <c r="C1" s="12" t="inlineStr">
        <is>
          <t>MML Purchase Cost %</t>
        </is>
      </c>
      <c r="D1" s="12" t="inlineStr">
        <is>
          <t>MML Labor Cost %</t>
        </is>
      </c>
      <c r="E1" s="12" t="inlineStr">
        <is>
          <t>MML Orders</t>
        </is>
      </c>
      <c r="F1" s="12" t="inlineStr">
        <is>
          <t>MML Avg Ticket</t>
        </is>
      </c>
      <c r="G1" s="12" t="inlineStr">
        <is>
          <t>MMA Net Revenue</t>
        </is>
      </c>
      <c r="H1" s="12" t="inlineStr">
        <is>
          <t>MMA Purchase Cost %</t>
        </is>
      </c>
      <c r="I1" s="12" t="inlineStr">
        <is>
          <t>MMA Labor Cost %</t>
        </is>
      </c>
      <c r="J1" s="12" t="inlineStr">
        <is>
          <t>MMA Orders</t>
        </is>
      </c>
      <c r="K1" s="12" t="inlineStr">
        <is>
          <t>MMA Avg Ticket</t>
        </is>
      </c>
      <c r="L1" s="12" t="inlineStr">
        <is>
          <t>MM3 Net Revenue</t>
        </is>
      </c>
      <c r="M1" s="12" t="inlineStr">
        <is>
          <t>MM3 Purchase Cost %</t>
        </is>
      </c>
      <c r="N1" s="12" t="inlineStr">
        <is>
          <t>MM3 Labor Cost %</t>
        </is>
      </c>
      <c r="O1" s="12" t="inlineStr">
        <is>
          <t>MM3 Orders</t>
        </is>
      </c>
      <c r="P1" s="12" t="inlineStr">
        <is>
          <t>MM3 Avg Ticket</t>
        </is>
      </c>
      <c r="Q1" s="12" t="inlineStr">
        <is>
          <t>TS1 Net Revenue</t>
        </is>
      </c>
      <c r="R1" s="12" t="inlineStr">
        <is>
          <t>TS1 Purchase Cost %</t>
        </is>
      </c>
      <c r="S1" s="12" t="inlineStr">
        <is>
          <t>TS1 Labor Cost %</t>
        </is>
      </c>
      <c r="T1" s="12" t="inlineStr">
        <is>
          <t>TS1 Orders</t>
        </is>
      </c>
      <c r="U1" s="12" t="inlineStr">
        <is>
          <t>TS1 Avg Ticket</t>
        </is>
      </c>
      <c r="V1" s="12" t="inlineStr">
        <is>
          <t>TS2 Net Revenue</t>
        </is>
      </c>
      <c r="W1" s="12" t="inlineStr">
        <is>
          <t>TS2 Purchase Cost %</t>
        </is>
      </c>
      <c r="X1" s="12" t="inlineStr">
        <is>
          <t>TS2 Labor Cost %</t>
        </is>
      </c>
      <c r="Y1" s="12" t="inlineStr">
        <is>
          <t>TS2 Orders</t>
        </is>
      </c>
      <c r="Z1" s="12" t="inlineStr">
        <is>
          <t>TS2 Avg Ticket</t>
        </is>
      </c>
    </row>
    <row r="2">
      <c r="A2" s="18" t="inlineStr">
        <is>
          <t>2026-03-09</t>
        </is>
      </c>
      <c r="B2" s="19" t="n">
        <v>12050</v>
      </c>
      <c r="C2" s="20" t="n">
        <v>0.284</v>
      </c>
      <c r="D2" s="20" t="n">
        <v>0.312</v>
      </c>
      <c r="E2" s="21" t="n">
        <v>387</v>
      </c>
      <c r="F2" s="21" t="n">
        <v>19.1</v>
      </c>
      <c r="G2" s="19" t="n">
        <v>9820</v>
      </c>
      <c r="H2" s="20" t="n">
        <v>0.301</v>
      </c>
      <c r="I2" s="20" t="n">
        <v>0.298</v>
      </c>
      <c r="J2" s="21" t="n">
        <v>321</v>
      </c>
      <c r="K2" s="21" t="n">
        <v>18.85</v>
      </c>
      <c r="L2" s="19" t="n">
        <v>7640</v>
      </c>
      <c r="M2" s="20" t="n">
        <v>0.318</v>
      </c>
      <c r="N2" s="20" t="n">
        <v>0.305</v>
      </c>
      <c r="O2" s="21" t="n">
        <v>258</v>
      </c>
      <c r="P2" s="21" t="n">
        <v>18.92</v>
      </c>
      <c r="Q2" s="19" t="n">
        <v>6510</v>
      </c>
      <c r="R2" s="20" t="n">
        <v>0.312</v>
      </c>
      <c r="S2" s="20" t="n">
        <v>0.321</v>
      </c>
      <c r="T2" s="21" t="n">
        <v>215</v>
      </c>
      <c r="U2" s="21" t="n">
        <v>18.65</v>
      </c>
      <c r="V2" s="19" t="n">
        <v>5890</v>
      </c>
      <c r="W2" s="20" t="n">
        <v>0.296</v>
      </c>
      <c r="X2" s="20" t="n">
        <v>0.334</v>
      </c>
      <c r="Y2" s="21" t="n">
        <v>182</v>
      </c>
      <c r="Z2" s="21" t="n">
        <v>18.88</v>
      </c>
    </row>
    <row r="3">
      <c r="A3" s="22" t="inlineStr">
        <is>
          <t>2026-03-16</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99999"/>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6" customWidth="1" min="3" max="3"/>
    <col width="16" customWidth="1" min="4" max="4"/>
    <col width="12" customWidth="1" min="5" max="5"/>
  </cols>
  <sheetData>
    <row r="1" ht="28" customHeight="1">
      <c r="A1" s="23" t="inlineStr">
        <is>
          <t>Moto Medi Lubbock</t>
        </is>
      </c>
    </row>
    <row r="2">
      <c r="A2" s="24" t="inlineStr">
        <is>
          <t>Week Ending:</t>
        </is>
      </c>
      <c r="B2" s="11">
        <f>'Summary'!B2</f>
        <v/>
      </c>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f>IFERROR(SUMIFS(INDEX('Square-Import'!A:Z,0,MATCH("Net Sales",'Square-Import'!1:1,0)),INDEX('Square-Import'!A:Z,0,MATCH("Location",'Square-Import'!1:1,0)),"Moto Medi Lubbock"),0)</f>
        <v/>
      </c>
      <c r="C5" s="27" t="n">
        <v>0</v>
      </c>
      <c r="D5" s="27">
        <f>B5-C5</f>
        <v/>
      </c>
      <c r="E5" s="28">
        <f>IF(C5&gt;0,(B5-C5)/C5,0)</f>
        <v/>
      </c>
    </row>
    <row r="6">
      <c r="A6" s="26" t="inlineStr">
        <is>
          <t>DoorDash Net Revenue</t>
        </is>
      </c>
      <c r="B6" s="27">
        <f>IFERROR(SUMIFS(INDEX('DoorDash-Import'!A:Z,0,MATCH("Net Payout",'DoorDash-Import'!1:1,0)),INDEX('DoorDash-Import'!A:Z,0,MATCH("Store Name",'DoorDash-Import'!1:1,0)),"Moto Medi Lubbock"),0)</f>
        <v/>
      </c>
      <c r="C6" s="27" t="n">
        <v>0</v>
      </c>
      <c r="D6" s="27">
        <f>B6-C6</f>
        <v/>
      </c>
      <c r="E6" s="28">
        <f>IF(C6&gt;0,(B6-C6)/C6,0)</f>
        <v/>
      </c>
    </row>
    <row r="7">
      <c r="A7" s="26" t="inlineStr">
        <is>
          <t>UberEats Net Revenue</t>
        </is>
      </c>
      <c r="B7" s="27">
        <f>IFERROR(SUMIFS(INDEX('UberEats-Import'!A:Z,0,MATCH("Net Payout",'UberEats-Import'!1:1,0)),INDEX('UberEats-Import'!A:Z,0,MATCH("Restaurant Name",'UberEats-Import'!1:1,0)),"Moto Medi Lubbock"),0)</f>
        <v/>
      </c>
      <c r="C7" s="27" t="n">
        <v>0</v>
      </c>
      <c r="D7" s="27">
        <f>B7-C7</f>
        <v/>
      </c>
      <c r="E7" s="28">
        <f>IF(C7&gt;0,(B7-C7)/C7,0)</f>
        <v/>
      </c>
    </row>
    <row r="8">
      <c r="A8" s="26" t="inlineStr">
        <is>
          <t>Grubhub Net Revenue</t>
        </is>
      </c>
      <c r="B8" s="27">
        <f>IFERROR(SUMIFS(INDEX('Grubhub-Import'!A:Z,0,MATCH("Net Payout",'Grubhub-Import'!1:1,0)),INDEX('Grubhub-Import'!A:Z,0,MATCH("Restaurant",'Grubhub-Import'!1:1,0)),"Moto Medi Lubbock"),0)</f>
        <v/>
      </c>
      <c r="C8" s="27" t="n">
        <v>0</v>
      </c>
      <c r="D8" s="27">
        <f>B8-C8</f>
        <v/>
      </c>
      <c r="E8" s="28">
        <f>IF(C8&gt;0,(B8-C8)/C8,0)</f>
        <v/>
      </c>
    </row>
    <row r="9">
      <c r="A9" s="29" t="inlineStr">
        <is>
          <t>Total Net Revenue</t>
        </is>
      </c>
      <c r="B9" s="30">
        <f>SUM(B5:B8)</f>
        <v/>
      </c>
      <c r="C9" s="30">
        <f>IFERROR(INDEX('Prior-Week'!A:Z,MATCH(B2-7,'Prior-Week'!A:A,0),2),0)</f>
        <v/>
      </c>
      <c r="D9" s="30">
        <f>B9-C9</f>
        <v/>
      </c>
      <c r="E9" s="31">
        <f>IF(C9&gt;0,(B9-C9)/C9,0)</f>
        <v/>
      </c>
    </row>
    <row r="10">
      <c r="A10" s="25" t="inlineStr">
        <is>
          <t>Cost Metrics</t>
        </is>
      </c>
    </row>
    <row r="11" ht="6" customHeight="1"/>
    <row r="12">
      <c r="A12" s="26" t="inlineStr">
        <is>
          <t>BEK Purchases</t>
        </is>
      </c>
      <c r="B12" s="27">
        <f>IFERROR(SUMIF(INDEX('BEK-Import'!A:Z,0,MATCH("Category",'BEK-Import'!1:1,0)),"Food",INDEX('BEK-Import'!A:Z,0,MATCH("Total",'BEK-Import'!1:1,0)))/5,IFERROR(SUMIF(INDEX('BEK-Import'!A:Z,0,MATCH("Total",'BEK-Import'!1:1,0)),"&gt;0",INDEX('BEK-Import'!A:Z,0,MATCH("Total",'BEK-Import'!1:1,0)))/5,0))</f>
        <v/>
      </c>
      <c r="C12" t="inlineStr"/>
      <c r="D12" t="inlineStr"/>
      <c r="E12" t="inlineStr"/>
    </row>
    <row r="13">
      <c r="A13" s="26" t="inlineStr">
        <is>
          <t>Purchase Cost %</t>
        </is>
      </c>
      <c r="B13" s="28">
        <f>IF(B9&gt;0,B12/B9,0)</f>
        <v/>
      </c>
      <c r="C13" s="28">
        <f>IFERROR(INDEX('Prior-Week'!A:Z,MATCH(B2-7,'Prior-Week'!A:A,0),3),0)</f>
        <v/>
      </c>
      <c r="D13" s="28">
        <f>B13-C13</f>
        <v/>
      </c>
      <c r="E13" s="28">
        <f>IF(C13&gt;0,(B13-C13)/C13,0)</f>
        <v/>
      </c>
    </row>
    <row r="14">
      <c r="A14" s="25" t="inlineStr">
        <is>
          <t>Labor</t>
        </is>
      </c>
    </row>
    <row r="15" ht="6" customHeight="1"/>
    <row r="16">
      <c r="A16" s="26" t="inlineStr">
        <is>
          <t>Est. Labor Cost (manual)</t>
        </is>
      </c>
      <c r="B16" s="32" t="n">
        <v>0</v>
      </c>
      <c r="C16" t="inlineStr"/>
      <c r="D16" t="inlineStr"/>
      <c r="E16" t="inlineStr"/>
    </row>
    <row r="17">
      <c r="A17" s="26" t="inlineStr">
        <is>
          <t>Labor Cost %</t>
        </is>
      </c>
      <c r="B17" s="28">
        <f>IF(B9&gt;0,B16/B9,0)</f>
        <v/>
      </c>
      <c r="C17" s="28">
        <f>IFERROR(INDEX('Prior-Week'!A:Z,MATCH(B2-7,'Prior-Week'!A:A,0),4),0)</f>
        <v/>
      </c>
      <c r="D17" s="28">
        <f>B17-C17</f>
        <v/>
      </c>
      <c r="E17" s="28">
        <f>IF(C17&gt;0,(B17-C17)/C17,0)</f>
        <v/>
      </c>
    </row>
    <row r="18">
      <c r="A18" s="25" t="inlineStr">
        <is>
          <t>Volume</t>
        </is>
      </c>
    </row>
    <row r="19" ht="6" customHeight="1"/>
    <row r="20">
      <c r="A20" s="26" t="inlineStr">
        <is>
          <t>Total Orders</t>
        </is>
      </c>
      <c r="B20" s="33">
        <f>IFERROR(SUMIFS(INDEX('Square-Import'!A:Z,0,MATCH("Order Count",'Square-Import'!1:1,0)),INDEX('Square-Import'!A:Z,0,MATCH("Location",'Square-Import'!1:1,0)),"Moto Medi Lubbock"),0)+IFERROR(SUMIFS(INDEX('DoorDash-Import'!A:Z,0,MATCH("Order Count",'DoorDash-Import'!1:1,0)),INDEX('DoorDash-Import'!A:Z,0,MATCH("Store Name",'DoorDash-Import'!1:1,0)),"Moto Medi Lubbock"),0)+IFERROR(SUMIFS(INDEX('UberEats-Import'!A:Z,0,MATCH("Trips",'UberEats-Import'!1:1,0)),INDEX('UberEats-Import'!A:Z,0,MATCH("Restaurant Name",'UberEats-Import'!1:1,0)),"Moto Medi Lubbock"),0)+IFERROR(SUMIFS(INDEX('Grubhub-Import'!A:Z,0,MATCH("Orders",'Grubhub-Import'!1:1,0)),INDEX('Grubhub-Import'!A:Z,0,MATCH("Restaurant",'Grubhub-Import'!1:1,0)),"Moto Medi Lubbock"),0)</f>
        <v/>
      </c>
      <c r="C20" s="33">
        <f>IFERROR(INDEX('Prior-Week'!A:Z,MATCH(B2-7,'Prior-Week'!A:A,0),5),0)</f>
        <v/>
      </c>
      <c r="D20" s="33">
        <f>B20-C20</f>
        <v/>
      </c>
      <c r="E20" s="28">
        <f>IF(C20&gt;0,(B20-C20)/C20,0)</f>
        <v/>
      </c>
    </row>
    <row r="21">
      <c r="A21" s="26" t="inlineStr">
        <is>
          <t>Avg Ticket Size</t>
        </is>
      </c>
      <c r="B21" s="34">
        <f>IF(B20&gt;0,B9/B20,0)</f>
        <v/>
      </c>
      <c r="C21" s="34">
        <f>IFERROR(INDEX('Prior-Week'!A:Z,MATCH(B2-7,'Prior-Week'!A:A,0),6),0)</f>
        <v/>
      </c>
      <c r="D21" s="34">
        <f>B21-C21</f>
        <v/>
      </c>
      <c r="E21" s="28">
        <f>IF(C21&gt;0,(B21-C21)/C21,0)</f>
        <v/>
      </c>
    </row>
    <row r="23" ht="32" customHeight="1">
      <c r="A23" s="35" t="inlineStr">
        <is>
          <t>[MML] Labor Cost requires manual entry — enter weekly labor total in the yellow B16 cell. Phase 2 automates via Square Labor CSV import (PAY-01).</t>
        </is>
      </c>
    </row>
  </sheetData>
  <mergeCells count="6">
    <mergeCell ref="A4:E4"/>
    <mergeCell ref="A10:E10"/>
    <mergeCell ref="A1:E1"/>
    <mergeCell ref="A23:E23"/>
    <mergeCell ref="A14:E14"/>
    <mergeCell ref="A18:E18"/>
  </mergeCells>
  <conditionalFormatting sqref="E9">
    <cfRule type="expression" priority="1" dxfId="1">
      <formula>E9&gt;0.05</formula>
    </cfRule>
    <cfRule type="expression" priority="2" dxfId="2">
      <formula>E9&lt;-0.05</formula>
    </cfRule>
  </conditionalFormatting>
  <conditionalFormatting sqref="E13">
    <cfRule type="expression" priority="3" dxfId="1">
      <formula>E13&gt;0.05</formula>
    </cfRule>
    <cfRule type="expression" priority="4" dxfId="2">
      <formula>E13&lt;-0.05</formula>
    </cfRule>
  </conditionalFormatting>
  <conditionalFormatting sqref="E17">
    <cfRule type="expression" priority="5" dxfId="1">
      <formula>E17&gt;0.05</formula>
    </cfRule>
    <cfRule type="expression" priority="6" dxfId="2">
      <formula>E17&lt;-0.05</formula>
    </cfRule>
  </conditionalFormatting>
  <conditionalFormatting sqref="E20">
    <cfRule type="expression" priority="7" dxfId="1">
      <formula>E20&gt;0.05</formula>
    </cfRule>
    <cfRule type="expression" priority="8" dxfId="2">
      <formula>E20&lt;-0.05</formula>
    </cfRule>
  </conditionalFormatting>
  <conditionalFormatting sqref="E21">
    <cfRule type="expression" priority="9" dxfId="1">
      <formula>E21&gt;0.05</formula>
    </cfRule>
    <cfRule type="expression" priority="10" dxfId="2">
      <formula>E21&lt;-0.05</formula>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99999"/>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6" customWidth="1" min="3" max="3"/>
    <col width="16" customWidth="1" min="4" max="4"/>
    <col width="12" customWidth="1" min="5" max="5"/>
  </cols>
  <sheetData>
    <row r="1" ht="28" customHeight="1">
      <c r="A1" s="23" t="inlineStr">
        <is>
          <t>Moto Medi Amarillo</t>
        </is>
      </c>
    </row>
    <row r="2">
      <c r="A2" s="24" t="inlineStr">
        <is>
          <t>Week Ending:</t>
        </is>
      </c>
      <c r="B2" s="11">
        <f>'Summary'!B2</f>
        <v/>
      </c>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f>IFERROR(SUMIFS(INDEX('Square-Import'!A:Z,0,MATCH("Net Sales",'Square-Import'!1:1,0)),INDEX('Square-Import'!A:Z,0,MATCH("Location",'Square-Import'!1:1,0)),"Moto Medi Amarillo"),0)</f>
        <v/>
      </c>
      <c r="C5" s="27" t="n">
        <v>0</v>
      </c>
      <c r="D5" s="27">
        <f>B5-C5</f>
        <v/>
      </c>
      <c r="E5" s="28">
        <f>IF(C5&gt;0,(B5-C5)/C5,0)</f>
        <v/>
      </c>
    </row>
    <row r="6">
      <c r="A6" s="26" t="inlineStr">
        <is>
          <t>DoorDash Net Revenue</t>
        </is>
      </c>
      <c r="B6" s="27">
        <f>IFERROR(SUMIFS(INDEX('DoorDash-Import'!A:Z,0,MATCH("Net Payout",'DoorDash-Import'!1:1,0)),INDEX('DoorDash-Import'!A:Z,0,MATCH("Store Name",'DoorDash-Import'!1:1,0)),"Moto Medi Amarillo"),0)</f>
        <v/>
      </c>
      <c r="C6" s="27" t="n">
        <v>0</v>
      </c>
      <c r="D6" s="27">
        <f>B6-C6</f>
        <v/>
      </c>
      <c r="E6" s="28">
        <f>IF(C6&gt;0,(B6-C6)/C6,0)</f>
        <v/>
      </c>
    </row>
    <row r="7">
      <c r="A7" s="26" t="inlineStr">
        <is>
          <t>UberEats Net Revenue</t>
        </is>
      </c>
      <c r="B7" s="27">
        <f>IFERROR(SUMIFS(INDEX('UberEats-Import'!A:Z,0,MATCH("Net Payout",'UberEats-Import'!1:1,0)),INDEX('UberEats-Import'!A:Z,0,MATCH("Restaurant Name",'UberEats-Import'!1:1,0)),"Moto Medi Amarillo"),0)</f>
        <v/>
      </c>
      <c r="C7" s="27" t="n">
        <v>0</v>
      </c>
      <c r="D7" s="27">
        <f>B7-C7</f>
        <v/>
      </c>
      <c r="E7" s="28">
        <f>IF(C7&gt;0,(B7-C7)/C7,0)</f>
        <v/>
      </c>
    </row>
    <row r="8">
      <c r="A8" s="26" t="inlineStr">
        <is>
          <t>Grubhub Net Revenue</t>
        </is>
      </c>
      <c r="B8" s="27">
        <f>IFERROR(SUMIFS(INDEX('Grubhub-Import'!A:Z,0,MATCH("Net Payout",'Grubhub-Import'!1:1,0)),INDEX('Grubhub-Import'!A:Z,0,MATCH("Restaurant",'Grubhub-Import'!1:1,0)),"Moto Medi Amarillo"),0)</f>
        <v/>
      </c>
      <c r="C8" s="27" t="n">
        <v>0</v>
      </c>
      <c r="D8" s="27">
        <f>B8-C8</f>
        <v/>
      </c>
      <c r="E8" s="28">
        <f>IF(C8&gt;0,(B8-C8)/C8,0)</f>
        <v/>
      </c>
    </row>
    <row r="9">
      <c r="A9" s="29" t="inlineStr">
        <is>
          <t>Total Net Revenue</t>
        </is>
      </c>
      <c r="B9" s="30">
        <f>SUM(B5:B8)</f>
        <v/>
      </c>
      <c r="C9" s="30">
        <f>IFERROR(INDEX('Prior-Week'!A:Z,MATCH(B2-7,'Prior-Week'!A:A,0),7),0)</f>
        <v/>
      </c>
      <c r="D9" s="30">
        <f>B9-C9</f>
        <v/>
      </c>
      <c r="E9" s="31">
        <f>IF(C9&gt;0,(B9-C9)/C9,0)</f>
        <v/>
      </c>
    </row>
    <row r="10">
      <c r="A10" s="25" t="inlineStr">
        <is>
          <t>Cost Metrics</t>
        </is>
      </c>
    </row>
    <row r="11" ht="6" customHeight="1"/>
    <row r="12">
      <c r="A12" s="26" t="inlineStr">
        <is>
          <t>BEK Purchases</t>
        </is>
      </c>
      <c r="B12" s="27">
        <f>IFERROR(SUMIF(INDEX('BEK-Import'!A:Z,0,MATCH("Category",'BEK-Import'!1:1,0)),"Food",INDEX('BEK-Import'!A:Z,0,MATCH("Total",'BEK-Import'!1:1,0)))/5,IFERROR(SUMIF(INDEX('BEK-Import'!A:Z,0,MATCH("Total",'BEK-Import'!1:1,0)),"&gt;0",INDEX('BEK-Import'!A:Z,0,MATCH("Total",'BEK-Import'!1:1,0)))/5,0))</f>
        <v/>
      </c>
      <c r="C12" t="inlineStr"/>
      <c r="D12" t="inlineStr"/>
      <c r="E12" t="inlineStr"/>
    </row>
    <row r="13">
      <c r="A13" s="26" t="inlineStr">
        <is>
          <t>Purchase Cost %</t>
        </is>
      </c>
      <c r="B13" s="28">
        <f>IF(B9&gt;0,B12/B9,0)</f>
        <v/>
      </c>
      <c r="C13" s="28">
        <f>IFERROR(INDEX('Prior-Week'!A:Z,MATCH(B2-7,'Prior-Week'!A:A,0),8),0)</f>
        <v/>
      </c>
      <c r="D13" s="28">
        <f>B13-C13</f>
        <v/>
      </c>
      <c r="E13" s="28">
        <f>IF(C13&gt;0,(B13-C13)/C13,0)</f>
        <v/>
      </c>
    </row>
    <row r="14">
      <c r="A14" s="25" t="inlineStr">
        <is>
          <t>Labor</t>
        </is>
      </c>
    </row>
    <row r="15" ht="6" customHeight="1"/>
    <row r="16">
      <c r="A16" s="26" t="inlineStr">
        <is>
          <t>Est. Labor Cost (manual)</t>
        </is>
      </c>
      <c r="B16" s="32" t="n">
        <v>0</v>
      </c>
      <c r="C16" t="inlineStr"/>
      <c r="D16" t="inlineStr"/>
      <c r="E16" t="inlineStr"/>
    </row>
    <row r="17">
      <c r="A17" s="26" t="inlineStr">
        <is>
          <t>Labor Cost %</t>
        </is>
      </c>
      <c r="B17" s="28">
        <f>IF(B9&gt;0,B16/B9,0)</f>
        <v/>
      </c>
      <c r="C17" s="28">
        <f>IFERROR(INDEX('Prior-Week'!A:Z,MATCH(B2-7,'Prior-Week'!A:A,0),9),0)</f>
        <v/>
      </c>
      <c r="D17" s="28">
        <f>B17-C17</f>
        <v/>
      </c>
      <c r="E17" s="28">
        <f>IF(C17&gt;0,(B17-C17)/C17,0)</f>
        <v/>
      </c>
    </row>
    <row r="18">
      <c r="A18" s="25" t="inlineStr">
        <is>
          <t>Volume</t>
        </is>
      </c>
    </row>
    <row r="19" ht="6" customHeight="1"/>
    <row r="20">
      <c r="A20" s="26" t="inlineStr">
        <is>
          <t>Total Orders</t>
        </is>
      </c>
      <c r="B20" s="33">
        <f>IFERROR(SUMIFS(INDEX('Square-Import'!A:Z,0,MATCH("Order Count",'Square-Import'!1:1,0)),INDEX('Square-Import'!A:Z,0,MATCH("Location",'Square-Import'!1:1,0)),"Moto Medi Amarillo"),0)+IFERROR(SUMIFS(INDEX('DoorDash-Import'!A:Z,0,MATCH("Order Count",'DoorDash-Import'!1:1,0)),INDEX('DoorDash-Import'!A:Z,0,MATCH("Store Name",'DoorDash-Import'!1:1,0)),"Moto Medi Amarillo"),0)+IFERROR(SUMIFS(INDEX('UberEats-Import'!A:Z,0,MATCH("Trips",'UberEats-Import'!1:1,0)),INDEX('UberEats-Import'!A:Z,0,MATCH("Restaurant Name",'UberEats-Import'!1:1,0)),"Moto Medi Amarillo"),0)+IFERROR(SUMIFS(INDEX('Grubhub-Import'!A:Z,0,MATCH("Orders",'Grubhub-Import'!1:1,0)),INDEX('Grubhub-Import'!A:Z,0,MATCH("Restaurant",'Grubhub-Import'!1:1,0)),"Moto Medi Amarillo"),0)</f>
        <v/>
      </c>
      <c r="C20" s="33">
        <f>IFERROR(INDEX('Prior-Week'!A:Z,MATCH(B2-7,'Prior-Week'!A:A,0),10),0)</f>
        <v/>
      </c>
      <c r="D20" s="33">
        <f>B20-C20</f>
        <v/>
      </c>
      <c r="E20" s="28">
        <f>IF(C20&gt;0,(B20-C20)/C20,0)</f>
        <v/>
      </c>
    </row>
    <row r="21">
      <c r="A21" s="26" t="inlineStr">
        <is>
          <t>Avg Ticket Size</t>
        </is>
      </c>
      <c r="B21" s="34">
        <f>IF(B20&gt;0,B9/B20,0)</f>
        <v/>
      </c>
      <c r="C21" s="34">
        <f>IFERROR(INDEX('Prior-Week'!A:Z,MATCH(B2-7,'Prior-Week'!A:A,0),11),0)</f>
        <v/>
      </c>
      <c r="D21" s="34">
        <f>B21-C21</f>
        <v/>
      </c>
      <c r="E21" s="28">
        <f>IF(C21&gt;0,(B21-C21)/C21,0)</f>
        <v/>
      </c>
    </row>
    <row r="23" ht="32" customHeight="1">
      <c r="A23" s="35" t="inlineStr">
        <is>
          <t>[MMA] Labor Cost requires manual entry — enter weekly labor total in the yellow B16 cell. Phase 2 automates via Square Labor CSV import (PAY-01).</t>
        </is>
      </c>
    </row>
  </sheetData>
  <mergeCells count="6">
    <mergeCell ref="A4:E4"/>
    <mergeCell ref="A10:E10"/>
    <mergeCell ref="A1:E1"/>
    <mergeCell ref="A23:E23"/>
    <mergeCell ref="A14:E14"/>
    <mergeCell ref="A18:E18"/>
  </mergeCells>
  <conditionalFormatting sqref="E9">
    <cfRule type="expression" priority="1" dxfId="1">
      <formula>E9&gt;0.05</formula>
    </cfRule>
    <cfRule type="expression" priority="2" dxfId="2">
      <formula>E9&lt;-0.05</formula>
    </cfRule>
  </conditionalFormatting>
  <conditionalFormatting sqref="E13">
    <cfRule type="expression" priority="3" dxfId="1">
      <formula>E13&gt;0.05</formula>
    </cfRule>
    <cfRule type="expression" priority="4" dxfId="2">
      <formula>E13&lt;-0.05</formula>
    </cfRule>
  </conditionalFormatting>
  <conditionalFormatting sqref="E17">
    <cfRule type="expression" priority="5" dxfId="1">
      <formula>E17&gt;0.05</formula>
    </cfRule>
    <cfRule type="expression" priority="6" dxfId="2">
      <formula>E17&lt;-0.05</formula>
    </cfRule>
  </conditionalFormatting>
  <conditionalFormatting sqref="E20">
    <cfRule type="expression" priority="7" dxfId="1">
      <formula>E20&gt;0.05</formula>
    </cfRule>
    <cfRule type="expression" priority="8" dxfId="2">
      <formula>E20&lt;-0.05</formula>
    </cfRule>
  </conditionalFormatting>
  <conditionalFormatting sqref="E21">
    <cfRule type="expression" priority="9" dxfId="1">
      <formula>E21&gt;0.05</formula>
    </cfRule>
    <cfRule type="expression" priority="10" dxfId="2">
      <formula>E21&lt;-0.05</formula>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99999"/>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6" customWidth="1" min="3" max="3"/>
    <col width="16" customWidth="1" min="4" max="4"/>
    <col width="12" customWidth="1" min="5" max="5"/>
  </cols>
  <sheetData>
    <row r="1" ht="28" customHeight="1">
      <c r="A1" s="23" t="inlineStr">
        <is>
          <t>Moto Medi 3rd</t>
        </is>
      </c>
    </row>
    <row r="2">
      <c r="A2" s="24" t="inlineStr">
        <is>
          <t>Week Ending:</t>
        </is>
      </c>
      <c r="B2" s="11">
        <f>'Summary'!B2</f>
        <v/>
      </c>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f>IFERROR(SUMIFS(INDEX('Square-Import'!A:Z,0,MATCH("Net Sales",'Square-Import'!1:1,0)),INDEX('Square-Import'!A:Z,0,MATCH("Location",'Square-Import'!1:1,0)),"Moto Medi 3rd"),0)</f>
        <v/>
      </c>
      <c r="C5" s="27" t="n">
        <v>0</v>
      </c>
      <c r="D5" s="27">
        <f>B5-C5</f>
        <v/>
      </c>
      <c r="E5" s="28">
        <f>IF(C5&gt;0,(B5-C5)/C5,0)</f>
        <v/>
      </c>
    </row>
    <row r="6">
      <c r="A6" s="26" t="inlineStr">
        <is>
          <t>DoorDash Net Revenue</t>
        </is>
      </c>
      <c r="B6" s="27">
        <f>IFERROR(SUMIFS(INDEX('DoorDash-Import'!A:Z,0,MATCH("Net Payout",'DoorDash-Import'!1:1,0)),INDEX('DoorDash-Import'!A:Z,0,MATCH("Store Name",'DoorDash-Import'!1:1,0)),"Moto Medi 3rd"),0)</f>
        <v/>
      </c>
      <c r="C6" s="27" t="n">
        <v>0</v>
      </c>
      <c r="D6" s="27">
        <f>B6-C6</f>
        <v/>
      </c>
      <c r="E6" s="28">
        <f>IF(C6&gt;0,(B6-C6)/C6,0)</f>
        <v/>
      </c>
    </row>
    <row r="7">
      <c r="A7" s="26" t="inlineStr">
        <is>
          <t>UberEats Net Revenue</t>
        </is>
      </c>
      <c r="B7" s="27">
        <f>IFERROR(SUMIFS(INDEX('UberEats-Import'!A:Z,0,MATCH("Net Payout",'UberEats-Import'!1:1,0)),INDEX('UberEats-Import'!A:Z,0,MATCH("Restaurant Name",'UberEats-Import'!1:1,0)),"Moto Medi 3rd"),0)</f>
        <v/>
      </c>
      <c r="C7" s="27" t="n">
        <v>0</v>
      </c>
      <c r="D7" s="27">
        <f>B7-C7</f>
        <v/>
      </c>
      <c r="E7" s="28">
        <f>IF(C7&gt;0,(B7-C7)/C7,0)</f>
        <v/>
      </c>
    </row>
    <row r="8">
      <c r="A8" s="26" t="inlineStr">
        <is>
          <t>Grubhub Net Revenue</t>
        </is>
      </c>
      <c r="B8" s="27">
        <f>IFERROR(SUMIFS(INDEX('Grubhub-Import'!A:Z,0,MATCH("Net Payout",'Grubhub-Import'!1:1,0)),INDEX('Grubhub-Import'!A:Z,0,MATCH("Restaurant",'Grubhub-Import'!1:1,0)),"Moto Medi 3rd"),0)</f>
        <v/>
      </c>
      <c r="C8" s="27" t="n">
        <v>0</v>
      </c>
      <c r="D8" s="27">
        <f>B8-C8</f>
        <v/>
      </c>
      <c r="E8" s="28">
        <f>IF(C8&gt;0,(B8-C8)/C8,0)</f>
        <v/>
      </c>
    </row>
    <row r="9">
      <c r="A9" s="29" t="inlineStr">
        <is>
          <t>Total Net Revenue</t>
        </is>
      </c>
      <c r="B9" s="30">
        <f>SUM(B5:B8)</f>
        <v/>
      </c>
      <c r="C9" s="30">
        <f>IFERROR(INDEX('Prior-Week'!A:Z,MATCH(B2-7,'Prior-Week'!A:A,0),12),0)</f>
        <v/>
      </c>
      <c r="D9" s="30">
        <f>B9-C9</f>
        <v/>
      </c>
      <c r="E9" s="31">
        <f>IF(C9&gt;0,(B9-C9)/C9,0)</f>
        <v/>
      </c>
    </row>
    <row r="10">
      <c r="A10" s="25" t="inlineStr">
        <is>
          <t>Cost Metrics</t>
        </is>
      </c>
    </row>
    <row r="11" ht="6" customHeight="1"/>
    <row r="12">
      <c r="A12" s="26" t="inlineStr">
        <is>
          <t>BEK Purchases</t>
        </is>
      </c>
      <c r="B12" s="27">
        <f>IFERROR(SUMIF(INDEX('BEK-Import'!A:Z,0,MATCH("Category",'BEK-Import'!1:1,0)),"Food",INDEX('BEK-Import'!A:Z,0,MATCH("Total",'BEK-Import'!1:1,0)))/5,IFERROR(SUMIF(INDEX('BEK-Import'!A:Z,0,MATCH("Total",'BEK-Import'!1:1,0)),"&gt;0",INDEX('BEK-Import'!A:Z,0,MATCH("Total",'BEK-Import'!1:1,0)))/5,0))</f>
        <v/>
      </c>
      <c r="C12" t="inlineStr"/>
      <c r="D12" t="inlineStr"/>
      <c r="E12" t="inlineStr"/>
    </row>
    <row r="13">
      <c r="A13" s="26" t="inlineStr">
        <is>
          <t>Purchase Cost %</t>
        </is>
      </c>
      <c r="B13" s="28">
        <f>IF(B9&gt;0,B12/B9,0)</f>
        <v/>
      </c>
      <c r="C13" s="28">
        <f>IFERROR(INDEX('Prior-Week'!A:Z,MATCH(B2-7,'Prior-Week'!A:A,0),13),0)</f>
        <v/>
      </c>
      <c r="D13" s="28">
        <f>B13-C13</f>
        <v/>
      </c>
      <c r="E13" s="28">
        <f>IF(C13&gt;0,(B13-C13)/C13,0)</f>
        <v/>
      </c>
    </row>
    <row r="14">
      <c r="A14" s="25" t="inlineStr">
        <is>
          <t>Labor</t>
        </is>
      </c>
    </row>
    <row r="15" ht="6" customHeight="1"/>
    <row r="16">
      <c r="A16" s="26" t="inlineStr">
        <is>
          <t>Est. Labor Cost (manual)</t>
        </is>
      </c>
      <c r="B16" s="32" t="n">
        <v>0</v>
      </c>
      <c r="C16" t="inlineStr"/>
      <c r="D16" t="inlineStr"/>
      <c r="E16" t="inlineStr"/>
    </row>
    <row r="17">
      <c r="A17" s="26" t="inlineStr">
        <is>
          <t>Labor Cost %</t>
        </is>
      </c>
      <c r="B17" s="28">
        <f>IF(B9&gt;0,B16/B9,0)</f>
        <v/>
      </c>
      <c r="C17" s="28">
        <f>IFERROR(INDEX('Prior-Week'!A:Z,MATCH(B2-7,'Prior-Week'!A:A,0),14),0)</f>
        <v/>
      </c>
      <c r="D17" s="28">
        <f>B17-C17</f>
        <v/>
      </c>
      <c r="E17" s="28">
        <f>IF(C17&gt;0,(B17-C17)/C17,0)</f>
        <v/>
      </c>
    </row>
    <row r="18">
      <c r="A18" s="25" t="inlineStr">
        <is>
          <t>Volume</t>
        </is>
      </c>
    </row>
    <row r="19" ht="6" customHeight="1"/>
    <row r="20">
      <c r="A20" s="26" t="inlineStr">
        <is>
          <t>Total Orders</t>
        </is>
      </c>
      <c r="B20" s="33">
        <f>IFERROR(SUMIFS(INDEX('Square-Import'!A:Z,0,MATCH("Order Count",'Square-Import'!1:1,0)),INDEX('Square-Import'!A:Z,0,MATCH("Location",'Square-Import'!1:1,0)),"Moto Medi 3rd"),0)+IFERROR(SUMIFS(INDEX('DoorDash-Import'!A:Z,0,MATCH("Order Count",'DoorDash-Import'!1:1,0)),INDEX('DoorDash-Import'!A:Z,0,MATCH("Store Name",'DoorDash-Import'!1:1,0)),"Moto Medi 3rd"),0)+IFERROR(SUMIFS(INDEX('UberEats-Import'!A:Z,0,MATCH("Trips",'UberEats-Import'!1:1,0)),INDEX('UberEats-Import'!A:Z,0,MATCH("Restaurant Name",'UberEats-Import'!1:1,0)),"Moto Medi 3rd"),0)+IFERROR(SUMIFS(INDEX('Grubhub-Import'!A:Z,0,MATCH("Orders",'Grubhub-Import'!1:1,0)),INDEX('Grubhub-Import'!A:Z,0,MATCH("Restaurant",'Grubhub-Import'!1:1,0)),"Moto Medi 3rd"),0)</f>
        <v/>
      </c>
      <c r="C20" s="33">
        <f>IFERROR(INDEX('Prior-Week'!A:Z,MATCH(B2-7,'Prior-Week'!A:A,0),15),0)</f>
        <v/>
      </c>
      <c r="D20" s="33">
        <f>B20-C20</f>
        <v/>
      </c>
      <c r="E20" s="28">
        <f>IF(C20&gt;0,(B20-C20)/C20,0)</f>
        <v/>
      </c>
    </row>
    <row r="21">
      <c r="A21" s="26" t="inlineStr">
        <is>
          <t>Avg Ticket Size</t>
        </is>
      </c>
      <c r="B21" s="34">
        <f>IF(B20&gt;0,B9/B20,0)</f>
        <v/>
      </c>
      <c r="C21" s="34">
        <f>IFERROR(INDEX('Prior-Week'!A:Z,MATCH(B2-7,'Prior-Week'!A:A,0),16),0)</f>
        <v/>
      </c>
      <c r="D21" s="34">
        <f>B21-C21</f>
        <v/>
      </c>
      <c r="E21" s="28">
        <f>IF(C21&gt;0,(B21-C21)/C21,0)</f>
        <v/>
      </c>
    </row>
    <row r="23" ht="32" customHeight="1">
      <c r="A23" s="35" t="inlineStr">
        <is>
          <t>[MM3] Labor Cost requires manual entry — enter weekly labor total in the yellow B16 cell. Phase 2 automates via Square Labor CSV import (PAY-01).</t>
        </is>
      </c>
    </row>
  </sheetData>
  <mergeCells count="6">
    <mergeCell ref="A4:E4"/>
    <mergeCell ref="A10:E10"/>
    <mergeCell ref="A1:E1"/>
    <mergeCell ref="A23:E23"/>
    <mergeCell ref="A14:E14"/>
    <mergeCell ref="A18:E18"/>
  </mergeCells>
  <conditionalFormatting sqref="E9">
    <cfRule type="expression" priority="1" dxfId="1">
      <formula>E9&gt;0.05</formula>
    </cfRule>
    <cfRule type="expression" priority="2" dxfId="2">
      <formula>E9&lt;-0.05</formula>
    </cfRule>
  </conditionalFormatting>
  <conditionalFormatting sqref="E13">
    <cfRule type="expression" priority="3" dxfId="1">
      <formula>E13&gt;0.05</formula>
    </cfRule>
    <cfRule type="expression" priority="4" dxfId="2">
      <formula>E13&lt;-0.05</formula>
    </cfRule>
  </conditionalFormatting>
  <conditionalFormatting sqref="E17">
    <cfRule type="expression" priority="5" dxfId="1">
      <formula>E17&gt;0.05</formula>
    </cfRule>
    <cfRule type="expression" priority="6" dxfId="2">
      <formula>E17&lt;-0.05</formula>
    </cfRule>
  </conditionalFormatting>
  <conditionalFormatting sqref="E20">
    <cfRule type="expression" priority="7" dxfId="1">
      <formula>E20&gt;0.05</formula>
    </cfRule>
    <cfRule type="expression" priority="8" dxfId="2">
      <formula>E20&lt;-0.05</formula>
    </cfRule>
  </conditionalFormatting>
  <conditionalFormatting sqref="E21">
    <cfRule type="expression" priority="9" dxfId="1">
      <formula>E21&gt;0.05</formula>
    </cfRule>
    <cfRule type="expression" priority="10" dxfId="2">
      <formula>E21&lt;-0.05</formula>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999999"/>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6" customWidth="1" min="3" max="3"/>
    <col width="16" customWidth="1" min="4" max="4"/>
    <col width="12" customWidth="1" min="5" max="5"/>
  </cols>
  <sheetData>
    <row r="1" ht="28" customHeight="1">
      <c r="A1" s="23" t="inlineStr">
        <is>
          <t>Tikka Shack 1</t>
        </is>
      </c>
    </row>
    <row r="2">
      <c r="A2" s="24" t="inlineStr">
        <is>
          <t>Week Ending:</t>
        </is>
      </c>
      <c r="B2" s="11">
        <f>'Summary'!B2</f>
        <v/>
      </c>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f>IFERROR(SUMIFS(INDEX('Square-Import'!A:Z,0,MATCH("Net Sales",'Square-Import'!1:1,0)),INDEX('Square-Import'!A:Z,0,MATCH("Location",'Square-Import'!1:1,0)),"Tikka Shack 1"),0)</f>
        <v/>
      </c>
      <c r="C5" s="27" t="n">
        <v>0</v>
      </c>
      <c r="D5" s="27">
        <f>B5-C5</f>
        <v/>
      </c>
      <c r="E5" s="28">
        <f>IF(C5&gt;0,(B5-C5)/C5,0)</f>
        <v/>
      </c>
    </row>
    <row r="6">
      <c r="A6" s="26" t="inlineStr">
        <is>
          <t>DoorDash Net Revenue</t>
        </is>
      </c>
      <c r="B6" s="27">
        <f>IFERROR(SUMIFS(INDEX('DoorDash-Import'!A:Z,0,MATCH("Net Payout",'DoorDash-Import'!1:1,0)),INDEX('DoorDash-Import'!A:Z,0,MATCH("Store Name",'DoorDash-Import'!1:1,0)),"Tikka Shack 1"),0)</f>
        <v/>
      </c>
      <c r="C6" s="27" t="n">
        <v>0</v>
      </c>
      <c r="D6" s="27">
        <f>B6-C6</f>
        <v/>
      </c>
      <c r="E6" s="28">
        <f>IF(C6&gt;0,(B6-C6)/C6,0)</f>
        <v/>
      </c>
    </row>
    <row r="7">
      <c r="A7" s="26" t="inlineStr">
        <is>
          <t>UberEats Net Revenue</t>
        </is>
      </c>
      <c r="B7" s="27">
        <f>IFERROR(SUMIFS(INDEX('UberEats-Import'!A:Z,0,MATCH("Net Payout",'UberEats-Import'!1:1,0)),INDEX('UberEats-Import'!A:Z,0,MATCH("Restaurant Name",'UberEats-Import'!1:1,0)),"Tikka Shack 1"),0)</f>
        <v/>
      </c>
      <c r="C7" s="27" t="n">
        <v>0</v>
      </c>
      <c r="D7" s="27">
        <f>B7-C7</f>
        <v/>
      </c>
      <c r="E7" s="28">
        <f>IF(C7&gt;0,(B7-C7)/C7,0)</f>
        <v/>
      </c>
    </row>
    <row r="8">
      <c r="A8" s="26" t="inlineStr">
        <is>
          <t>Grubhub Net Revenue</t>
        </is>
      </c>
      <c r="B8" s="27">
        <f>IFERROR(SUMIFS(INDEX('Grubhub-Import'!A:Z,0,MATCH("Net Payout",'Grubhub-Import'!1:1,0)),INDEX('Grubhub-Import'!A:Z,0,MATCH("Restaurant",'Grubhub-Import'!1:1,0)),"Tikka Shack 1"),0)</f>
        <v/>
      </c>
      <c r="C8" s="27" t="n">
        <v>0</v>
      </c>
      <c r="D8" s="27">
        <f>B8-C8</f>
        <v/>
      </c>
      <c r="E8" s="28">
        <f>IF(C8&gt;0,(B8-C8)/C8,0)</f>
        <v/>
      </c>
    </row>
    <row r="9">
      <c r="A9" s="29" t="inlineStr">
        <is>
          <t>Total Net Revenue</t>
        </is>
      </c>
      <c r="B9" s="30">
        <f>SUM(B5:B8)</f>
        <v/>
      </c>
      <c r="C9" s="30">
        <f>IFERROR(INDEX('Prior-Week'!A:Z,MATCH(B2-7,'Prior-Week'!A:A,0),17),0)</f>
        <v/>
      </c>
      <c r="D9" s="30">
        <f>B9-C9</f>
        <v/>
      </c>
      <c r="E9" s="31">
        <f>IF(C9&gt;0,(B9-C9)/C9,0)</f>
        <v/>
      </c>
    </row>
    <row r="10">
      <c r="A10" s="25" t="inlineStr">
        <is>
          <t>Cost Metrics</t>
        </is>
      </c>
    </row>
    <row r="11" ht="6" customHeight="1"/>
    <row r="12">
      <c r="A12" s="26" t="inlineStr">
        <is>
          <t>BEK Purchases</t>
        </is>
      </c>
      <c r="B12" s="27">
        <f>IFERROR(SUMIF(INDEX('BEK-Import'!A:Z,0,MATCH("Category",'BEK-Import'!1:1,0)),"Food",INDEX('BEK-Import'!A:Z,0,MATCH("Total",'BEK-Import'!1:1,0)))/5,IFERROR(SUMIF(INDEX('BEK-Import'!A:Z,0,MATCH("Total",'BEK-Import'!1:1,0)),"&gt;0",INDEX('BEK-Import'!A:Z,0,MATCH("Total",'BEK-Import'!1:1,0)))/5,0))</f>
        <v/>
      </c>
      <c r="C12" t="inlineStr"/>
      <c r="D12" t="inlineStr"/>
      <c r="E12" t="inlineStr"/>
    </row>
    <row r="13">
      <c r="A13" s="26" t="inlineStr">
        <is>
          <t>Purchase Cost %</t>
        </is>
      </c>
      <c r="B13" s="28">
        <f>IF(B9&gt;0,B12/B9,0)</f>
        <v/>
      </c>
      <c r="C13" s="28">
        <f>IFERROR(INDEX('Prior-Week'!A:Z,MATCH(B2-7,'Prior-Week'!A:A,0),18),0)</f>
        <v/>
      </c>
      <c r="D13" s="28">
        <f>B13-C13</f>
        <v/>
      </c>
      <c r="E13" s="28">
        <f>IF(C13&gt;0,(B13-C13)/C13,0)</f>
        <v/>
      </c>
    </row>
    <row r="14">
      <c r="A14" s="25" t="inlineStr">
        <is>
          <t>Labor</t>
        </is>
      </c>
    </row>
    <row r="15" ht="6" customHeight="1"/>
    <row r="16">
      <c r="A16" s="26" t="inlineStr">
        <is>
          <t>Est. Labor Cost (manual)</t>
        </is>
      </c>
      <c r="B16" s="32" t="n">
        <v>0</v>
      </c>
      <c r="C16" t="inlineStr"/>
      <c r="D16" t="inlineStr"/>
      <c r="E16" t="inlineStr"/>
    </row>
    <row r="17">
      <c r="A17" s="26" t="inlineStr">
        <is>
          <t>Labor Cost %</t>
        </is>
      </c>
      <c r="B17" s="28">
        <f>IF(B9&gt;0,B16/B9,0)</f>
        <v/>
      </c>
      <c r="C17" s="28">
        <f>IFERROR(INDEX('Prior-Week'!A:Z,MATCH(B2-7,'Prior-Week'!A:A,0),19),0)</f>
        <v/>
      </c>
      <c r="D17" s="28">
        <f>B17-C17</f>
        <v/>
      </c>
      <c r="E17" s="28">
        <f>IF(C17&gt;0,(B17-C17)/C17,0)</f>
        <v/>
      </c>
    </row>
    <row r="18">
      <c r="A18" s="25" t="inlineStr">
        <is>
          <t>Volume</t>
        </is>
      </c>
    </row>
    <row r="19" ht="6" customHeight="1"/>
    <row r="20">
      <c r="A20" s="26" t="inlineStr">
        <is>
          <t>Total Orders</t>
        </is>
      </c>
      <c r="B20" s="33">
        <f>IFERROR(SUMIFS(INDEX('Square-Import'!A:Z,0,MATCH("Order Count",'Square-Import'!1:1,0)),INDEX('Square-Import'!A:Z,0,MATCH("Location",'Square-Import'!1:1,0)),"Tikka Shack 1"),0)+IFERROR(SUMIFS(INDEX('DoorDash-Import'!A:Z,0,MATCH("Order Count",'DoorDash-Import'!1:1,0)),INDEX('DoorDash-Import'!A:Z,0,MATCH("Store Name",'DoorDash-Import'!1:1,0)),"Tikka Shack 1"),0)+IFERROR(SUMIFS(INDEX('UberEats-Import'!A:Z,0,MATCH("Trips",'UberEats-Import'!1:1,0)),INDEX('UberEats-Import'!A:Z,0,MATCH("Restaurant Name",'UberEats-Import'!1:1,0)),"Tikka Shack 1"),0)+IFERROR(SUMIFS(INDEX('Grubhub-Import'!A:Z,0,MATCH("Orders",'Grubhub-Import'!1:1,0)),INDEX('Grubhub-Import'!A:Z,0,MATCH("Restaurant",'Grubhub-Import'!1:1,0)),"Tikka Shack 1"),0)</f>
        <v/>
      </c>
      <c r="C20" s="33">
        <f>IFERROR(INDEX('Prior-Week'!A:Z,MATCH(B2-7,'Prior-Week'!A:A,0),20),0)</f>
        <v/>
      </c>
      <c r="D20" s="33">
        <f>B20-C20</f>
        <v/>
      </c>
      <c r="E20" s="28">
        <f>IF(C20&gt;0,(B20-C20)/C20,0)</f>
        <v/>
      </c>
    </row>
    <row r="21">
      <c r="A21" s="26" t="inlineStr">
        <is>
          <t>Avg Ticket Size</t>
        </is>
      </c>
      <c r="B21" s="34">
        <f>IF(B20&gt;0,B9/B20,0)</f>
        <v/>
      </c>
      <c r="C21" s="34">
        <f>IFERROR(INDEX('Prior-Week'!A:Z,MATCH(B2-7,'Prior-Week'!A:A,0),21),0)</f>
        <v/>
      </c>
      <c r="D21" s="34">
        <f>B21-C21</f>
        <v/>
      </c>
      <c r="E21" s="28">
        <f>IF(C21&gt;0,(B21-C21)/C21,0)</f>
        <v/>
      </c>
    </row>
    <row r="23" ht="32" customHeight="1">
      <c r="A23" s="35" t="inlineStr">
        <is>
          <t>[TS1] Labor Cost requires manual entry — enter weekly labor total in the yellow B16 cell. Phase 2 automates via Square Labor CSV import (PAY-01).</t>
        </is>
      </c>
    </row>
  </sheetData>
  <mergeCells count="6">
    <mergeCell ref="A4:E4"/>
    <mergeCell ref="A10:E10"/>
    <mergeCell ref="A1:E1"/>
    <mergeCell ref="A23:E23"/>
    <mergeCell ref="A14:E14"/>
    <mergeCell ref="A18:E18"/>
  </mergeCells>
  <conditionalFormatting sqref="E9">
    <cfRule type="expression" priority="1" dxfId="1">
      <formula>E9&gt;0.05</formula>
    </cfRule>
    <cfRule type="expression" priority="2" dxfId="2">
      <formula>E9&lt;-0.05</formula>
    </cfRule>
  </conditionalFormatting>
  <conditionalFormatting sqref="E13">
    <cfRule type="expression" priority="3" dxfId="1">
      <formula>E13&gt;0.05</formula>
    </cfRule>
    <cfRule type="expression" priority="4" dxfId="2">
      <formula>E13&lt;-0.05</formula>
    </cfRule>
  </conditionalFormatting>
  <conditionalFormatting sqref="E17">
    <cfRule type="expression" priority="5" dxfId="1">
      <formula>E17&gt;0.05</formula>
    </cfRule>
    <cfRule type="expression" priority="6" dxfId="2">
      <formula>E17&lt;-0.05</formula>
    </cfRule>
  </conditionalFormatting>
  <conditionalFormatting sqref="E20">
    <cfRule type="expression" priority="7" dxfId="1">
      <formula>E20&gt;0.05</formula>
    </cfRule>
    <cfRule type="expression" priority="8" dxfId="2">
      <formula>E20&lt;-0.05</formula>
    </cfRule>
  </conditionalFormatting>
  <conditionalFormatting sqref="E21">
    <cfRule type="expression" priority="9" dxfId="1">
      <formula>E21&gt;0.05</formula>
    </cfRule>
    <cfRule type="expression" priority="10" dxfId="2">
      <formula>E21&lt;-0.05</formula>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99999"/>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6" customWidth="1" min="3" max="3"/>
    <col width="16" customWidth="1" min="4" max="4"/>
    <col width="12" customWidth="1" min="5" max="5"/>
  </cols>
  <sheetData>
    <row r="1" ht="28" customHeight="1">
      <c r="A1" s="23" t="inlineStr">
        <is>
          <t>Tikka Shack 2</t>
        </is>
      </c>
    </row>
    <row r="2">
      <c r="A2" s="24" t="inlineStr">
        <is>
          <t>Week Ending:</t>
        </is>
      </c>
      <c r="B2" s="11">
        <f>'Summary'!B2</f>
        <v/>
      </c>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f>IFERROR(SUMIFS(INDEX('Square-Import'!A:Z,0,MATCH("Net Sales",'Square-Import'!1:1,0)),INDEX('Square-Import'!A:Z,0,MATCH("Location",'Square-Import'!1:1,0)),"Tikka Shack 2"),0)</f>
        <v/>
      </c>
      <c r="C5" s="27" t="n">
        <v>0</v>
      </c>
      <c r="D5" s="27">
        <f>B5-C5</f>
        <v/>
      </c>
      <c r="E5" s="28">
        <f>IF(C5&gt;0,(B5-C5)/C5,0)</f>
        <v/>
      </c>
    </row>
    <row r="6">
      <c r="A6" s="26" t="inlineStr">
        <is>
          <t>DoorDash Net Revenue</t>
        </is>
      </c>
      <c r="B6" s="27">
        <f>IFERROR(SUMIFS(INDEX('DoorDash-Import'!A:Z,0,MATCH("Net Payout",'DoorDash-Import'!1:1,0)),INDEX('DoorDash-Import'!A:Z,0,MATCH("Store Name",'DoorDash-Import'!1:1,0)),"Tikka Shack 2"),0)</f>
        <v/>
      </c>
      <c r="C6" s="27" t="n">
        <v>0</v>
      </c>
      <c r="D6" s="27">
        <f>B6-C6</f>
        <v/>
      </c>
      <c r="E6" s="28">
        <f>IF(C6&gt;0,(B6-C6)/C6,0)</f>
        <v/>
      </c>
    </row>
    <row r="7">
      <c r="A7" s="26" t="inlineStr">
        <is>
          <t>UberEats Net Revenue</t>
        </is>
      </c>
      <c r="B7" s="27">
        <f>IFERROR(SUMIFS(INDEX('UberEats-Import'!A:Z,0,MATCH("Net Payout",'UberEats-Import'!1:1,0)),INDEX('UberEats-Import'!A:Z,0,MATCH("Restaurant Name",'UberEats-Import'!1:1,0)),"Tikka Shack 2"),0)</f>
        <v/>
      </c>
      <c r="C7" s="27" t="n">
        <v>0</v>
      </c>
      <c r="D7" s="27">
        <f>B7-C7</f>
        <v/>
      </c>
      <c r="E7" s="28">
        <f>IF(C7&gt;0,(B7-C7)/C7,0)</f>
        <v/>
      </c>
    </row>
    <row r="8">
      <c r="A8" s="26" t="inlineStr">
        <is>
          <t>Grubhub Net Revenue</t>
        </is>
      </c>
      <c r="B8" s="27">
        <f>IFERROR(SUMIFS(INDEX('Grubhub-Import'!A:Z,0,MATCH("Net Payout",'Grubhub-Import'!1:1,0)),INDEX('Grubhub-Import'!A:Z,0,MATCH("Restaurant",'Grubhub-Import'!1:1,0)),"Tikka Shack 2"),0)</f>
        <v/>
      </c>
      <c r="C8" s="27" t="n">
        <v>0</v>
      </c>
      <c r="D8" s="27">
        <f>B8-C8</f>
        <v/>
      </c>
      <c r="E8" s="28">
        <f>IF(C8&gt;0,(B8-C8)/C8,0)</f>
        <v/>
      </c>
    </row>
    <row r="9">
      <c r="A9" s="29" t="inlineStr">
        <is>
          <t>Total Net Revenue</t>
        </is>
      </c>
      <c r="B9" s="30">
        <f>SUM(B5:B8)</f>
        <v/>
      </c>
      <c r="C9" s="30">
        <f>IFERROR(INDEX('Prior-Week'!A:Z,MATCH(B2-7,'Prior-Week'!A:A,0),22),0)</f>
        <v/>
      </c>
      <c r="D9" s="30">
        <f>B9-C9</f>
        <v/>
      </c>
      <c r="E9" s="31">
        <f>IF(C9&gt;0,(B9-C9)/C9,0)</f>
        <v/>
      </c>
    </row>
    <row r="10">
      <c r="A10" s="25" t="inlineStr">
        <is>
          <t>Cost Metrics</t>
        </is>
      </c>
    </row>
    <row r="11" ht="6" customHeight="1"/>
    <row r="12">
      <c r="A12" s="26" t="inlineStr">
        <is>
          <t>BEK Purchases</t>
        </is>
      </c>
      <c r="B12" s="27">
        <f>IFERROR(SUMIF(INDEX('BEK-Import'!A:Z,0,MATCH("Category",'BEK-Import'!1:1,0)),"Food",INDEX('BEK-Import'!A:Z,0,MATCH("Total",'BEK-Import'!1:1,0)))/5,IFERROR(SUMIF(INDEX('BEK-Import'!A:Z,0,MATCH("Total",'BEK-Import'!1:1,0)),"&gt;0",INDEX('BEK-Import'!A:Z,0,MATCH("Total",'BEK-Import'!1:1,0)))/5,0))</f>
        <v/>
      </c>
      <c r="C12" t="inlineStr"/>
      <c r="D12" t="inlineStr"/>
      <c r="E12" t="inlineStr"/>
    </row>
    <row r="13">
      <c r="A13" s="26" t="inlineStr">
        <is>
          <t>Purchase Cost %</t>
        </is>
      </c>
      <c r="B13" s="28">
        <f>IF(B9&gt;0,B12/B9,0)</f>
        <v/>
      </c>
      <c r="C13" s="28">
        <f>IFERROR(INDEX('Prior-Week'!A:Z,MATCH(B2-7,'Prior-Week'!A:A,0),23),0)</f>
        <v/>
      </c>
      <c r="D13" s="28">
        <f>B13-C13</f>
        <v/>
      </c>
      <c r="E13" s="28">
        <f>IF(C13&gt;0,(B13-C13)/C13,0)</f>
        <v/>
      </c>
    </row>
    <row r="14">
      <c r="A14" s="25" t="inlineStr">
        <is>
          <t>Labor</t>
        </is>
      </c>
    </row>
    <row r="15" ht="6" customHeight="1"/>
    <row r="16">
      <c r="A16" s="26" t="inlineStr">
        <is>
          <t>Est. Labor Cost (manual)</t>
        </is>
      </c>
      <c r="B16" s="32" t="n">
        <v>0</v>
      </c>
      <c r="C16" t="inlineStr"/>
      <c r="D16" t="inlineStr"/>
      <c r="E16" t="inlineStr"/>
    </row>
    <row r="17">
      <c r="A17" s="26" t="inlineStr">
        <is>
          <t>Labor Cost %</t>
        </is>
      </c>
      <c r="B17" s="28">
        <f>IF(B9&gt;0,B16/B9,0)</f>
        <v/>
      </c>
      <c r="C17" s="28">
        <f>IFERROR(INDEX('Prior-Week'!A:Z,MATCH(B2-7,'Prior-Week'!A:A,0),24),0)</f>
        <v/>
      </c>
      <c r="D17" s="28">
        <f>B17-C17</f>
        <v/>
      </c>
      <c r="E17" s="28">
        <f>IF(C17&gt;0,(B17-C17)/C17,0)</f>
        <v/>
      </c>
    </row>
    <row r="18">
      <c r="A18" s="25" t="inlineStr">
        <is>
          <t>Volume</t>
        </is>
      </c>
    </row>
    <row r="19" ht="6" customHeight="1"/>
    <row r="20">
      <c r="A20" s="26" t="inlineStr">
        <is>
          <t>Total Orders</t>
        </is>
      </c>
      <c r="B20" s="33">
        <f>IFERROR(SUMIFS(INDEX('Square-Import'!A:Z,0,MATCH("Order Count",'Square-Import'!1:1,0)),INDEX('Square-Import'!A:Z,0,MATCH("Location",'Square-Import'!1:1,0)),"Tikka Shack 2"),0)+IFERROR(SUMIFS(INDEX('DoorDash-Import'!A:Z,0,MATCH("Order Count",'DoorDash-Import'!1:1,0)),INDEX('DoorDash-Import'!A:Z,0,MATCH("Store Name",'DoorDash-Import'!1:1,0)),"Tikka Shack 2"),0)+IFERROR(SUMIFS(INDEX('UberEats-Import'!A:Z,0,MATCH("Trips",'UberEats-Import'!1:1,0)),INDEX('UberEats-Import'!A:Z,0,MATCH("Restaurant Name",'UberEats-Import'!1:1,0)),"Tikka Shack 2"),0)+IFERROR(SUMIFS(INDEX('Grubhub-Import'!A:Z,0,MATCH("Orders",'Grubhub-Import'!1:1,0)),INDEX('Grubhub-Import'!A:Z,0,MATCH("Restaurant",'Grubhub-Import'!1:1,0)),"Tikka Shack 2"),0)</f>
        <v/>
      </c>
      <c r="C20" s="33">
        <f>IFERROR(INDEX('Prior-Week'!A:Z,MATCH(B2-7,'Prior-Week'!A:A,0),25),0)</f>
        <v/>
      </c>
      <c r="D20" s="33">
        <f>B20-C20</f>
        <v/>
      </c>
      <c r="E20" s="28">
        <f>IF(C20&gt;0,(B20-C20)/C20,0)</f>
        <v/>
      </c>
    </row>
    <row r="21">
      <c r="A21" s="26" t="inlineStr">
        <is>
          <t>Avg Ticket Size</t>
        </is>
      </c>
      <c r="B21" s="34">
        <f>IF(B20&gt;0,B9/B20,0)</f>
        <v/>
      </c>
      <c r="C21" s="34">
        <f>IFERROR(INDEX('Prior-Week'!A:Z,MATCH(B2-7,'Prior-Week'!A:A,0),26),0)</f>
        <v/>
      </c>
      <c r="D21" s="34">
        <f>B21-C21</f>
        <v/>
      </c>
      <c r="E21" s="28">
        <f>IF(C21&gt;0,(B21-C21)/C21,0)</f>
        <v/>
      </c>
    </row>
    <row r="23" ht="32" customHeight="1">
      <c r="A23" s="35" t="inlineStr">
        <is>
          <t>[TS2] Labor Cost requires manual entry — enter weekly labor total in the yellow B16 cell. Phase 2 automates via Square Labor CSV import (PAY-01).</t>
        </is>
      </c>
    </row>
  </sheetData>
  <mergeCells count="6">
    <mergeCell ref="A4:E4"/>
    <mergeCell ref="A10:E10"/>
    <mergeCell ref="A1:E1"/>
    <mergeCell ref="A23:E23"/>
    <mergeCell ref="A14:E14"/>
    <mergeCell ref="A18:E18"/>
  </mergeCells>
  <conditionalFormatting sqref="E9">
    <cfRule type="expression" priority="1" dxfId="1">
      <formula>E9&gt;0.05</formula>
    </cfRule>
    <cfRule type="expression" priority="2" dxfId="2">
      <formula>E9&lt;-0.05</formula>
    </cfRule>
  </conditionalFormatting>
  <conditionalFormatting sqref="E13">
    <cfRule type="expression" priority="3" dxfId="1">
      <formula>E13&gt;0.05</formula>
    </cfRule>
    <cfRule type="expression" priority="4" dxfId="2">
      <formula>E13&lt;-0.05</formula>
    </cfRule>
  </conditionalFormatting>
  <conditionalFormatting sqref="E17">
    <cfRule type="expression" priority="5" dxfId="1">
      <formula>E17&gt;0.05</formula>
    </cfRule>
    <cfRule type="expression" priority="6" dxfId="2">
      <formula>E17&lt;-0.05</formula>
    </cfRule>
  </conditionalFormatting>
  <conditionalFormatting sqref="E20">
    <cfRule type="expression" priority="7" dxfId="1">
      <formula>E20&gt;0.05</formula>
    </cfRule>
    <cfRule type="expression" priority="8" dxfId="2">
      <formula>E20&lt;-0.05</formula>
    </cfRule>
  </conditionalFormatting>
  <conditionalFormatting sqref="E21">
    <cfRule type="expression" priority="9" dxfId="1">
      <formula>E21&gt;0.05</formula>
    </cfRule>
    <cfRule type="expression" priority="10" dxfId="2">
      <formula>E21&lt;-0.05</formula>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F4A442"/>
    <outlinePr summaryBelow="1" summaryRight="1"/>
    <pageSetUpPr/>
  </sheetPr>
  <dimension ref="A1:F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s>
  <sheetData>
    <row r="1" ht="36" customHeight="1">
      <c r="A1" s="36" t="inlineStr">
        <is>
          <t>Weekly Report Summary</t>
        </is>
      </c>
    </row>
    <row r="2" ht="20" customHeight="1">
      <c r="A2" s="24" t="inlineStr">
        <is>
          <t>Week Ending:</t>
        </is>
      </c>
      <c r="B2" s="11" t="n"/>
    </row>
    <row r="3" ht="8" customHeight="1"/>
    <row r="4" ht="28" customHeight="1">
      <c r="A4" s="37" t="inlineStr"/>
      <c r="B4" s="37" t="inlineStr">
        <is>
          <t>Moto Medi Lubbock</t>
        </is>
      </c>
      <c r="C4" s="37" t="inlineStr">
        <is>
          <t>Moto Medi Amarillo</t>
        </is>
      </c>
      <c r="D4" s="37" t="inlineStr">
        <is>
          <t>Moto Medi 3rd</t>
        </is>
      </c>
      <c r="E4" s="37" t="inlineStr">
        <is>
          <t>Tikka Shack 1</t>
        </is>
      </c>
      <c r="F4" s="37" t="inlineStr">
        <is>
          <t>Tikka Shack 2</t>
        </is>
      </c>
    </row>
    <row r="5">
      <c r="A5" s="24" t="inlineStr">
        <is>
          <t>Net Revenue</t>
        </is>
      </c>
      <c r="B5" s="38">
        <f>'MML-Calc'!B9</f>
        <v/>
      </c>
      <c r="C5" s="38">
        <f>'MMA-Calc'!B9</f>
        <v/>
      </c>
      <c r="D5" s="38">
        <f>'MM3-Calc'!B9</f>
        <v/>
      </c>
      <c r="E5" s="39">
        <f>'TS1-Calc'!B9</f>
        <v/>
      </c>
      <c r="F5" s="39">
        <f>'TS2-Calc'!B9</f>
        <v/>
      </c>
    </row>
    <row r="6" ht="16" customHeight="1">
      <c r="A6" s="40" t="inlineStr">
        <is>
          <t xml:space="preserve">  WoW</t>
        </is>
      </c>
      <c r="B6" s="41">
        <f>'MML-Calc'!E9</f>
        <v/>
      </c>
      <c r="C6" s="41">
        <f>'MMA-Calc'!E9</f>
        <v/>
      </c>
      <c r="D6" s="41">
        <f>'MM3-Calc'!E9</f>
        <v/>
      </c>
      <c r="E6" s="42">
        <f>'TS1-Calc'!E9</f>
        <v/>
      </c>
      <c r="F6" s="42">
        <f>'TS2-Calc'!E9</f>
        <v/>
      </c>
    </row>
    <row r="7">
      <c r="A7" s="24" t="inlineStr">
        <is>
          <t>Purchase Cost %</t>
        </is>
      </c>
      <c r="B7" s="43">
        <f>'MML-Calc'!B13</f>
        <v/>
      </c>
      <c r="C7" s="43">
        <f>'MMA-Calc'!B13</f>
        <v/>
      </c>
      <c r="D7" s="43">
        <f>'MM3-Calc'!B13</f>
        <v/>
      </c>
      <c r="E7" s="44">
        <f>'TS1-Calc'!B13</f>
        <v/>
      </c>
      <c r="F7" s="44">
        <f>'TS2-Calc'!B13</f>
        <v/>
      </c>
    </row>
    <row r="8" ht="16" customHeight="1">
      <c r="A8" s="40" t="inlineStr">
        <is>
          <t xml:space="preserve">  WoW</t>
        </is>
      </c>
      <c r="B8" s="41">
        <f>'MML-Calc'!E13</f>
        <v/>
      </c>
      <c r="C8" s="41">
        <f>'MMA-Calc'!E13</f>
        <v/>
      </c>
      <c r="D8" s="41">
        <f>'MM3-Calc'!E13</f>
        <v/>
      </c>
      <c r="E8" s="42">
        <f>'TS1-Calc'!E13</f>
        <v/>
      </c>
      <c r="F8" s="42">
        <f>'TS2-Calc'!E13</f>
        <v/>
      </c>
    </row>
    <row r="9">
      <c r="A9" s="24" t="inlineStr">
        <is>
          <t>Labor Cost %</t>
        </is>
      </c>
      <c r="B9" s="43">
        <f>'MML-Calc'!B17</f>
        <v/>
      </c>
      <c r="C9" s="43">
        <f>'MMA-Calc'!B17</f>
        <v/>
      </c>
      <c r="D9" s="43">
        <f>'MM3-Calc'!B17</f>
        <v/>
      </c>
      <c r="E9" s="44">
        <f>'TS1-Calc'!B17</f>
        <v/>
      </c>
      <c r="F9" s="44">
        <f>'TS2-Calc'!B17</f>
        <v/>
      </c>
    </row>
    <row r="10" ht="16" customHeight="1">
      <c r="A10" s="40" t="inlineStr">
        <is>
          <t xml:space="preserve">  WoW</t>
        </is>
      </c>
      <c r="B10" s="41">
        <f>'MML-Calc'!E17</f>
        <v/>
      </c>
      <c r="C10" s="41">
        <f>'MMA-Calc'!E17</f>
        <v/>
      </c>
      <c r="D10" s="41">
        <f>'MM3-Calc'!E17</f>
        <v/>
      </c>
      <c r="E10" s="42">
        <f>'TS1-Calc'!E17</f>
        <v/>
      </c>
      <c r="F10" s="42">
        <f>'TS2-Calc'!E17</f>
        <v/>
      </c>
    </row>
    <row r="11">
      <c r="A11" s="24" t="inlineStr">
        <is>
          <t>Order Volume</t>
        </is>
      </c>
      <c r="B11" s="45">
        <f>'MML-Calc'!B20</f>
        <v/>
      </c>
      <c r="C11" s="45">
        <f>'MMA-Calc'!B20</f>
        <v/>
      </c>
      <c r="D11" s="45">
        <f>'MM3-Calc'!B20</f>
        <v/>
      </c>
      <c r="E11" s="46">
        <f>'TS1-Calc'!B20</f>
        <v/>
      </c>
      <c r="F11" s="46">
        <f>'TS2-Calc'!B20</f>
        <v/>
      </c>
    </row>
    <row r="12" ht="16" customHeight="1">
      <c r="A12" s="40" t="inlineStr">
        <is>
          <t xml:space="preserve">  WoW</t>
        </is>
      </c>
      <c r="B12" s="41">
        <f>'MML-Calc'!E20</f>
        <v/>
      </c>
      <c r="C12" s="41">
        <f>'MMA-Calc'!E20</f>
        <v/>
      </c>
      <c r="D12" s="41">
        <f>'MM3-Calc'!E20</f>
        <v/>
      </c>
      <c r="E12" s="42">
        <f>'TS1-Calc'!E20</f>
        <v/>
      </c>
      <c r="F12" s="42">
        <f>'TS2-Calc'!E20</f>
        <v/>
      </c>
    </row>
    <row r="13">
      <c r="A13" s="24" t="inlineStr">
        <is>
          <t>Avg Ticket</t>
        </is>
      </c>
      <c r="B13" s="47">
        <f>'MML-Calc'!B21</f>
        <v/>
      </c>
      <c r="C13" s="47">
        <f>'MMA-Calc'!B21</f>
        <v/>
      </c>
      <c r="D13" s="47">
        <f>'MM3-Calc'!B21</f>
        <v/>
      </c>
      <c r="E13" s="48">
        <f>'TS1-Calc'!B21</f>
        <v/>
      </c>
      <c r="F13" s="48">
        <f>'TS2-Calc'!B21</f>
        <v/>
      </c>
    </row>
    <row r="14" ht="16" customHeight="1">
      <c r="A14" s="40" t="inlineStr">
        <is>
          <t xml:space="preserve">  WoW</t>
        </is>
      </c>
      <c r="B14" s="41">
        <f>'MML-Calc'!E21</f>
        <v/>
      </c>
      <c r="C14" s="41">
        <f>'MMA-Calc'!E21</f>
        <v/>
      </c>
      <c r="D14" s="41">
        <f>'MM3-Calc'!E21</f>
        <v/>
      </c>
      <c r="E14" s="42">
        <f>'TS1-Calc'!E21</f>
        <v/>
      </c>
      <c r="F14" s="42">
        <f>'TS2-Calc'!E21</f>
        <v/>
      </c>
    </row>
    <row r="15" ht="8" customHeight="1"/>
    <row r="16" ht="8" customHeight="1"/>
    <row r="17">
      <c r="A17" s="25" t="inlineStr">
        <is>
          <t>Notes</t>
        </is>
      </c>
    </row>
    <row r="18" ht="30" customHeight="1">
      <c r="A18" s="49" t="inlineStr">
        <is>
          <t>Purchase Cost % = BEK food purchases (company-wide, divided by 5 locations) / net revenue. Not true COGS — does not include inventory variance or waste.</t>
        </is>
      </c>
    </row>
    <row r="19" ht="30" customHeight="1">
      <c r="A19" s="49" t="inlineStr">
        <is>
          <t>Labor Cost % is estimated from manual entry in each Location Calc tab. Phase 2 automates this via Square Labor CSV import.</t>
        </is>
      </c>
    </row>
    <row r="20" ht="30" customHeight="1">
      <c r="A20" s="49" t="inlineStr">
        <is>
          <t>All delivery revenue (DoorDash, UberEats, Grubhub) uses net payout after platform fees/commissions.</t>
        </is>
      </c>
    </row>
  </sheetData>
  <mergeCells count="5">
    <mergeCell ref="A19:F19"/>
    <mergeCell ref="A1:F1"/>
    <mergeCell ref="A17:F17"/>
    <mergeCell ref="A18:F18"/>
    <mergeCell ref="A20:F20"/>
  </mergeCells>
  <conditionalFormatting sqref="B6">
    <cfRule type="expression" priority="1" dxfId="3">
      <formula>'MML-Calc'!E9&gt;0.05</formula>
    </cfRule>
    <cfRule type="expression" priority="2" dxfId="4">
      <formula>'MML-Calc'!E9&lt;-0.05</formula>
    </cfRule>
  </conditionalFormatting>
  <conditionalFormatting sqref="C6">
    <cfRule type="expression" priority="3" dxfId="3">
      <formula>'MMA-Calc'!E9&gt;0.05</formula>
    </cfRule>
    <cfRule type="expression" priority="4" dxfId="4">
      <formula>'MMA-Calc'!E9&lt;-0.05</formula>
    </cfRule>
  </conditionalFormatting>
  <conditionalFormatting sqref="D6">
    <cfRule type="expression" priority="5" dxfId="3">
      <formula>'MM3-Calc'!E9&gt;0.05</formula>
    </cfRule>
    <cfRule type="expression" priority="6" dxfId="4">
      <formula>'MM3-Calc'!E9&lt;-0.05</formula>
    </cfRule>
  </conditionalFormatting>
  <conditionalFormatting sqref="E6">
    <cfRule type="expression" priority="7" dxfId="3">
      <formula>'TS1-Calc'!E9&gt;0.05</formula>
    </cfRule>
    <cfRule type="expression" priority="8" dxfId="4">
      <formula>'TS1-Calc'!E9&lt;-0.05</formula>
    </cfRule>
  </conditionalFormatting>
  <conditionalFormatting sqref="F6">
    <cfRule type="expression" priority="9" dxfId="3">
      <formula>'TS2-Calc'!E9&gt;0.05</formula>
    </cfRule>
    <cfRule type="expression" priority="10" dxfId="4">
      <formula>'TS2-Calc'!E9&lt;-0.05</formula>
    </cfRule>
  </conditionalFormatting>
  <conditionalFormatting sqref="B8">
    <cfRule type="expression" priority="11" dxfId="3">
      <formula>'MML-Calc'!E13&gt;0.05</formula>
    </cfRule>
    <cfRule type="expression" priority="12" dxfId="4">
      <formula>'MML-Calc'!E13&lt;-0.05</formula>
    </cfRule>
  </conditionalFormatting>
  <conditionalFormatting sqref="C8">
    <cfRule type="expression" priority="13" dxfId="3">
      <formula>'MMA-Calc'!E13&gt;0.05</formula>
    </cfRule>
    <cfRule type="expression" priority="14" dxfId="4">
      <formula>'MMA-Calc'!E13&lt;-0.05</formula>
    </cfRule>
  </conditionalFormatting>
  <conditionalFormatting sqref="D8">
    <cfRule type="expression" priority="15" dxfId="3">
      <formula>'MM3-Calc'!E13&gt;0.05</formula>
    </cfRule>
    <cfRule type="expression" priority="16" dxfId="4">
      <formula>'MM3-Calc'!E13&lt;-0.05</formula>
    </cfRule>
  </conditionalFormatting>
  <conditionalFormatting sqref="E8">
    <cfRule type="expression" priority="17" dxfId="3">
      <formula>'TS1-Calc'!E13&gt;0.05</formula>
    </cfRule>
    <cfRule type="expression" priority="18" dxfId="4">
      <formula>'TS1-Calc'!E13&lt;-0.05</formula>
    </cfRule>
  </conditionalFormatting>
  <conditionalFormatting sqref="F8">
    <cfRule type="expression" priority="19" dxfId="3">
      <formula>'TS2-Calc'!E13&gt;0.05</formula>
    </cfRule>
    <cfRule type="expression" priority="20" dxfId="4">
      <formula>'TS2-Calc'!E13&lt;-0.05</formula>
    </cfRule>
  </conditionalFormatting>
  <conditionalFormatting sqref="B10">
    <cfRule type="expression" priority="21" dxfId="3">
      <formula>'MML-Calc'!E17&gt;0.05</formula>
    </cfRule>
    <cfRule type="expression" priority="22" dxfId="4">
      <formula>'MML-Calc'!E17&lt;-0.05</formula>
    </cfRule>
  </conditionalFormatting>
  <conditionalFormatting sqref="C10">
    <cfRule type="expression" priority="23" dxfId="3">
      <formula>'MMA-Calc'!E17&gt;0.05</formula>
    </cfRule>
    <cfRule type="expression" priority="24" dxfId="4">
      <formula>'MMA-Calc'!E17&lt;-0.05</formula>
    </cfRule>
  </conditionalFormatting>
  <conditionalFormatting sqref="D10">
    <cfRule type="expression" priority="25" dxfId="3">
      <formula>'MM3-Calc'!E17&gt;0.05</formula>
    </cfRule>
    <cfRule type="expression" priority="26" dxfId="4">
      <formula>'MM3-Calc'!E17&lt;-0.05</formula>
    </cfRule>
  </conditionalFormatting>
  <conditionalFormatting sqref="E10">
    <cfRule type="expression" priority="27" dxfId="3">
      <formula>'TS1-Calc'!E17&gt;0.05</formula>
    </cfRule>
    <cfRule type="expression" priority="28" dxfId="4">
      <formula>'TS1-Calc'!E17&lt;-0.05</formula>
    </cfRule>
  </conditionalFormatting>
  <conditionalFormatting sqref="F10">
    <cfRule type="expression" priority="29" dxfId="3">
      <formula>'TS2-Calc'!E17&gt;0.05</formula>
    </cfRule>
    <cfRule type="expression" priority="30" dxfId="4">
      <formula>'TS2-Calc'!E17&lt;-0.05</formula>
    </cfRule>
  </conditionalFormatting>
  <conditionalFormatting sqref="B12">
    <cfRule type="expression" priority="31" dxfId="3">
      <formula>'MML-Calc'!E20&gt;0.05</formula>
    </cfRule>
    <cfRule type="expression" priority="32" dxfId="4">
      <formula>'MML-Calc'!E20&lt;-0.05</formula>
    </cfRule>
  </conditionalFormatting>
  <conditionalFormatting sqref="C12">
    <cfRule type="expression" priority="33" dxfId="3">
      <formula>'MMA-Calc'!E20&gt;0.05</formula>
    </cfRule>
    <cfRule type="expression" priority="34" dxfId="4">
      <formula>'MMA-Calc'!E20&lt;-0.05</formula>
    </cfRule>
  </conditionalFormatting>
  <conditionalFormatting sqref="D12">
    <cfRule type="expression" priority="35" dxfId="3">
      <formula>'MM3-Calc'!E20&gt;0.05</formula>
    </cfRule>
    <cfRule type="expression" priority="36" dxfId="4">
      <formula>'MM3-Calc'!E20&lt;-0.05</formula>
    </cfRule>
  </conditionalFormatting>
  <conditionalFormatting sqref="E12">
    <cfRule type="expression" priority="37" dxfId="3">
      <formula>'TS1-Calc'!E20&gt;0.05</formula>
    </cfRule>
    <cfRule type="expression" priority="38" dxfId="4">
      <formula>'TS1-Calc'!E20&lt;-0.05</formula>
    </cfRule>
  </conditionalFormatting>
  <conditionalFormatting sqref="F12">
    <cfRule type="expression" priority="39" dxfId="3">
      <formula>'TS2-Calc'!E20&gt;0.05</formula>
    </cfRule>
    <cfRule type="expression" priority="40" dxfId="4">
      <formula>'TS2-Calc'!E20&lt;-0.05</formula>
    </cfRule>
  </conditionalFormatting>
  <conditionalFormatting sqref="B14">
    <cfRule type="expression" priority="41" dxfId="3">
      <formula>'MML-Calc'!E21&gt;0.05</formula>
    </cfRule>
    <cfRule type="expression" priority="42" dxfId="4">
      <formula>'MML-Calc'!E21&lt;-0.05</formula>
    </cfRule>
  </conditionalFormatting>
  <conditionalFormatting sqref="C14">
    <cfRule type="expression" priority="43" dxfId="3">
      <formula>'MMA-Calc'!E21&gt;0.05</formula>
    </cfRule>
    <cfRule type="expression" priority="44" dxfId="4">
      <formula>'MMA-Calc'!E21&lt;-0.05</formula>
    </cfRule>
  </conditionalFormatting>
  <conditionalFormatting sqref="D14">
    <cfRule type="expression" priority="45" dxfId="3">
      <formula>'MM3-Calc'!E21&gt;0.05</formula>
    </cfRule>
    <cfRule type="expression" priority="46" dxfId="4">
      <formula>'MM3-Calc'!E21&lt;-0.05</formula>
    </cfRule>
  </conditionalFormatting>
  <conditionalFormatting sqref="E14">
    <cfRule type="expression" priority="47" dxfId="3">
      <formula>'TS1-Calc'!E21&gt;0.05</formula>
    </cfRule>
    <cfRule type="expression" priority="48" dxfId="4">
      <formula>'TS1-Calc'!E21&lt;-0.05</formula>
    </cfRule>
  </conditionalFormatting>
  <conditionalFormatting sqref="F14">
    <cfRule type="expression" priority="49" dxfId="3">
      <formula>'TS2-Calc'!E21&gt;0.05</formula>
    </cfRule>
    <cfRule type="expression" priority="50" dxfId="4">
      <formula>'TS2-Calc'!E21&lt;-0.05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2026-03-14T17:53:13Z</dcterms:created>
  <dcterms:modified xmlns:dcterms="http://purl.org/dc/terms/" xmlns:xsi="http://www.w3.org/2001/XMLSchema-instance" xsi:type="dcterms:W3CDTF">2026-03-14T17:53:13Z</dcterms:modified>
</cp:coreProperties>
</file>